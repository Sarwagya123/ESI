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y Projects\ESI\res\Example\"/>
    </mc:Choice>
  </mc:AlternateContent>
  <xr:revisionPtr revIDLastSave="0" documentId="13_ncr:1_{983B5B86-056D-4B30-A9A6-E9E8FC75DA8C}" xr6:coauthVersionLast="47" xr6:coauthVersionMax="47" xr10:uidLastSave="{00000000-0000-0000-0000-000000000000}"/>
  <bookViews>
    <workbookView xWindow="-110" yWindow="-110" windowWidth="19420" windowHeight="10300" activeTab="1" xr2:uid="{00000000-000D-0000-FFFF-FFFF00000000}"/>
  </bookViews>
  <sheets>
    <sheet name="Inventory" sheetId="8" r:id="rId1"/>
    <sheet name="pharmacy and challan" sheetId="1" r:id="rId2"/>
    <sheet name="challan" sheetId="7" r:id="rId3"/>
    <sheet name="Sheet2" sheetId="2" r:id="rId4"/>
    <sheet name="Sheet3" sheetId="3" r:id="rId5"/>
    <sheet name="Sheet4" sheetId="4" r:id="rId6"/>
    <sheet name="Sheet4 (3)" sheetId="6" r:id="rId7"/>
    <sheet name="Sheet4 (2)" sheetId="5" r:id="rId8"/>
  </sheets>
  <definedNames>
    <definedName name="Inventory" localSheetId="0" hidden="1">Inventory!$A$1:$E$1731</definedName>
  </definedName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96" i="1" l="1"/>
  <c r="R95" i="1"/>
  <c r="R94" i="1"/>
  <c r="R93" i="1"/>
  <c r="R92" i="1"/>
  <c r="R91" i="1"/>
  <c r="R90" i="1"/>
  <c r="R89" i="1"/>
  <c r="R88" i="1"/>
  <c r="R87" i="1"/>
  <c r="R86" i="1"/>
  <c r="R85" i="1"/>
  <c r="R82" i="1"/>
  <c r="R81" i="1"/>
  <c r="R80" i="1"/>
  <c r="R79" i="1"/>
  <c r="R78" i="1"/>
  <c r="R77" i="1"/>
  <c r="R76" i="1"/>
  <c r="R75" i="1"/>
  <c r="R74" i="1"/>
  <c r="R73" i="1"/>
  <c r="R72" i="1"/>
  <c r="R71" i="1"/>
  <c r="R70" i="1"/>
  <c r="R69" i="1"/>
  <c r="R68" i="1"/>
  <c r="R67" i="1"/>
  <c r="R66" i="1"/>
  <c r="R65" i="1"/>
  <c r="R64" i="1"/>
  <c r="R63" i="1"/>
  <c r="R62" i="1"/>
  <c r="R61" i="1"/>
  <c r="R60" i="1"/>
  <c r="H89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64" i="1"/>
  <c r="H115" i="1"/>
  <c r="H116" i="1"/>
  <c r="H117" i="1"/>
  <c r="H118" i="1"/>
  <c r="H119" i="1"/>
  <c r="H120" i="1"/>
  <c r="H121" i="1"/>
  <c r="H122" i="1"/>
  <c r="H123" i="1"/>
  <c r="R173" i="1"/>
  <c r="R172" i="1"/>
  <c r="R171" i="1"/>
  <c r="R170" i="1"/>
  <c r="R169" i="1"/>
  <c r="R165" i="1"/>
  <c r="R164" i="1"/>
  <c r="R163" i="1"/>
  <c r="R162" i="1"/>
  <c r="R161" i="1"/>
  <c r="R140" i="1"/>
  <c r="R138" i="1"/>
  <c r="R137" i="1"/>
  <c r="R136" i="1"/>
  <c r="R135" i="1"/>
  <c r="H270" i="1"/>
  <c r="R131" i="1"/>
  <c r="R130" i="1"/>
  <c r="R129" i="1"/>
  <c r="R128" i="1"/>
  <c r="R127" i="1"/>
  <c r="R126" i="1"/>
  <c r="R125" i="1"/>
  <c r="R124" i="1"/>
  <c r="R120" i="1"/>
  <c r="R119" i="1"/>
  <c r="R118" i="1"/>
  <c r="R117" i="1"/>
  <c r="R116" i="1"/>
  <c r="R115" i="1"/>
  <c r="R114" i="1"/>
  <c r="R113" i="1"/>
  <c r="R112" i="1"/>
  <c r="R111" i="1"/>
  <c r="R26" i="1"/>
  <c r="R25" i="1"/>
  <c r="R24" i="1"/>
  <c r="R23" i="1"/>
  <c r="R22" i="1"/>
  <c r="R21" i="1"/>
  <c r="R20" i="1"/>
  <c r="R17" i="1"/>
  <c r="R16" i="1"/>
  <c r="R15" i="1"/>
  <c r="R11" i="1"/>
  <c r="R10" i="1"/>
  <c r="H20" i="1"/>
  <c r="F357" i="7"/>
  <c r="F307" i="7"/>
  <c r="F257" i="7"/>
  <c r="F207" i="7"/>
  <c r="F157" i="7"/>
  <c r="F107" i="7"/>
  <c r="F56" i="7"/>
  <c r="F6" i="7"/>
  <c r="H38" i="6"/>
  <c r="H37" i="6"/>
  <c r="H36" i="6"/>
  <c r="H35" i="6"/>
  <c r="H34" i="6"/>
  <c r="H33" i="6"/>
  <c r="H32" i="6"/>
  <c r="H31" i="6"/>
  <c r="H30" i="6"/>
  <c r="H29" i="6"/>
  <c r="H28" i="6"/>
  <c r="H27" i="6"/>
  <c r="H26" i="6"/>
  <c r="H25" i="6"/>
  <c r="H24" i="6"/>
  <c r="H23" i="6"/>
  <c r="H22" i="6"/>
  <c r="H21" i="6"/>
  <c r="H20" i="6"/>
  <c r="H19" i="6"/>
  <c r="H18" i="6"/>
  <c r="H17" i="6"/>
  <c r="H16" i="6"/>
  <c r="H15" i="6"/>
  <c r="H14" i="6"/>
  <c r="E7" i="6"/>
  <c r="H38" i="5"/>
  <c r="H37" i="5"/>
  <c r="H36" i="5"/>
  <c r="H35" i="5"/>
  <c r="H34" i="5"/>
  <c r="H33" i="5"/>
  <c r="H32" i="5"/>
  <c r="H31" i="5"/>
  <c r="H30" i="5"/>
  <c r="H29" i="5"/>
  <c r="H28" i="5"/>
  <c r="H27" i="5"/>
  <c r="H26" i="5"/>
  <c r="H25" i="5"/>
  <c r="H24" i="5"/>
  <c r="H23" i="5"/>
  <c r="H22" i="5"/>
  <c r="H21" i="5"/>
  <c r="H20" i="5"/>
  <c r="H19" i="5"/>
  <c r="H18" i="5"/>
  <c r="H17" i="5"/>
  <c r="H16" i="5"/>
  <c r="H15" i="5"/>
  <c r="H14" i="5"/>
  <c r="E7" i="5"/>
  <c r="N357" i="1"/>
  <c r="E358" i="1"/>
  <c r="N307" i="1"/>
  <c r="E308" i="1"/>
  <c r="N257" i="1"/>
  <c r="E258" i="1"/>
  <c r="N207" i="1"/>
  <c r="E208" i="1"/>
  <c r="N157" i="1"/>
  <c r="E158" i="1"/>
  <c r="N107" i="1"/>
  <c r="E108" i="1"/>
  <c r="N56" i="1"/>
  <c r="E57" i="1"/>
  <c r="H389" i="1"/>
  <c r="H388" i="1"/>
  <c r="H387" i="1"/>
  <c r="H386" i="1"/>
  <c r="H385" i="1"/>
  <c r="H384" i="1"/>
  <c r="H383" i="1"/>
  <c r="H382" i="1"/>
  <c r="H381" i="1"/>
  <c r="H380" i="1"/>
  <c r="H379" i="1"/>
  <c r="H378" i="1"/>
  <c r="H377" i="1"/>
  <c r="H376" i="1"/>
  <c r="H375" i="1"/>
  <c r="H374" i="1"/>
  <c r="H373" i="1"/>
  <c r="H372" i="1"/>
  <c r="H371" i="1"/>
  <c r="H370" i="1"/>
  <c r="H369" i="1"/>
  <c r="H368" i="1"/>
  <c r="H367" i="1"/>
  <c r="H366" i="1"/>
  <c r="H365" i="1"/>
  <c r="H339" i="1"/>
  <c r="H338" i="1"/>
  <c r="H337" i="1"/>
  <c r="H336" i="1"/>
  <c r="H335" i="1"/>
  <c r="H334" i="1"/>
  <c r="H333" i="1"/>
  <c r="H332" i="1"/>
  <c r="H331" i="1"/>
  <c r="H330" i="1"/>
  <c r="H329" i="1"/>
  <c r="H328" i="1"/>
  <c r="H327" i="1"/>
  <c r="H326" i="1"/>
  <c r="H325" i="1"/>
  <c r="H324" i="1"/>
  <c r="H323" i="1"/>
  <c r="H322" i="1"/>
  <c r="H321" i="1"/>
  <c r="H320" i="1"/>
  <c r="H319" i="1"/>
  <c r="H318" i="1"/>
  <c r="H317" i="1"/>
  <c r="H316" i="1"/>
  <c r="H315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6" i="1"/>
  <c r="H275" i="1"/>
  <c r="H274" i="1"/>
  <c r="H273" i="1"/>
  <c r="H272" i="1"/>
  <c r="H268" i="1"/>
  <c r="H267" i="1"/>
  <c r="H266" i="1"/>
  <c r="H265" i="1"/>
  <c r="H239" i="1"/>
  <c r="H238" i="1"/>
  <c r="H237" i="1"/>
  <c r="H236" i="1"/>
  <c r="H235" i="1"/>
  <c r="H234" i="1"/>
  <c r="H233" i="1"/>
  <c r="H232" i="1"/>
  <c r="H231" i="1"/>
  <c r="H230" i="1"/>
  <c r="H229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5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N6" i="1"/>
  <c r="E7" i="4"/>
  <c r="E7" i="3"/>
  <c r="E7" i="2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38" i="3"/>
  <c r="H37" i="3"/>
  <c r="H36" i="3"/>
  <c r="H35" i="3"/>
  <c r="H34" i="3"/>
  <c r="H33" i="3"/>
  <c r="H32" i="3"/>
  <c r="H31" i="3"/>
  <c r="H30" i="3"/>
  <c r="H29" i="3"/>
  <c r="H28" i="3"/>
  <c r="H27" i="3"/>
  <c r="H26" i="3"/>
  <c r="H25" i="3"/>
  <c r="H24" i="3"/>
  <c r="H23" i="3"/>
  <c r="H22" i="3"/>
  <c r="H21" i="3"/>
  <c r="H20" i="3"/>
  <c r="H19" i="3"/>
  <c r="H18" i="3"/>
  <c r="H17" i="3"/>
  <c r="H16" i="3"/>
  <c r="H15" i="3"/>
  <c r="H14" i="3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39" i="2" s="1"/>
  <c r="H15" i="1"/>
  <c r="H19" i="1"/>
  <c r="H21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14" i="1"/>
  <c r="C40" i="3" a="1"/>
  <c r="C40" i="6" a="1"/>
  <c r="C40" i="2" a="1"/>
  <c r="C40" i="5" a="1"/>
  <c r="H39" i="5" l="1"/>
  <c r="H43" i="5" s="1"/>
  <c r="H39" i="3"/>
  <c r="H39" i="6"/>
  <c r="C40" i="6"/>
  <c r="H41" i="6"/>
  <c r="H43" i="6" s="1"/>
  <c r="C40" i="5"/>
  <c r="H41" i="5"/>
  <c r="H42" i="5" s="1"/>
  <c r="H290" i="1"/>
  <c r="H240" i="1"/>
  <c r="H190" i="1"/>
  <c r="H390" i="1"/>
  <c r="H140" i="1"/>
  <c r="H340" i="1"/>
  <c r="H39" i="1"/>
  <c r="H39" i="4"/>
  <c r="H41" i="4" s="1"/>
  <c r="H43" i="4" s="1"/>
  <c r="C40" i="3"/>
  <c r="H41" i="3"/>
  <c r="H43" i="3" s="1"/>
  <c r="C40" i="2"/>
  <c r="H41" i="2"/>
  <c r="H43" i="2" s="1"/>
  <c r="C40" i="4" a="1"/>
  <c r="C341" i="1"/>
  <c r="C291" i="1"/>
  <c r="C391" i="1"/>
  <c r="C241" i="1"/>
  <c r="C191" i="1"/>
  <c r="C90" i="1"/>
  <c r="C141" i="1"/>
  <c r="C40" i="1"/>
  <c r="H292" i="1" l="1"/>
  <c r="H294" i="1" s="1"/>
  <c r="H142" i="1"/>
  <c r="H144" i="1" s="1"/>
  <c r="H192" i="1"/>
  <c r="H194" i="1" s="1"/>
  <c r="H392" i="1"/>
  <c r="H394" i="1" s="1"/>
  <c r="H41" i="1"/>
  <c r="H43" i="1" s="1"/>
  <c r="H42" i="6"/>
  <c r="H242" i="1"/>
  <c r="H244" i="1" s="1"/>
  <c r="H342" i="1"/>
  <c r="H344" i="1" s="1"/>
  <c r="H91" i="1"/>
  <c r="H92" i="1" s="1"/>
  <c r="C40" i="4"/>
  <c r="H42" i="4"/>
  <c r="H42" i="3"/>
  <c r="H42" i="2"/>
  <c r="H143" i="1" l="1"/>
  <c r="H193" i="1"/>
  <c r="H343" i="1"/>
  <c r="H393" i="1"/>
  <c r="H293" i="1"/>
  <c r="H42" i="1"/>
  <c r="H243" i="1"/>
  <c r="H93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sourceFile="C:\Users\USER\Desktop\ESI Latest Keshav\Inventory.xlsx" keepAlive="1" name="Inventory" type="5" refreshedVersion="3" background="1" saveData="1">
    <dbPr connection="Provider=Microsoft.ACE.OLEDB.12.0;User ID=Admin;Data Source=C:\Users\USER\Desktop\ESI Latest Keshav\Inventory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Sheet1$" commandType="3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<sst xmlns="http://schemas.openxmlformats.org/spreadsheetml/2006/main" count="1660" uniqueCount="515">
  <si>
    <r>
      <rPr>
        <b/>
        <sz val="12"/>
        <color rgb="FF00B0F0"/>
        <rFont val="Calibri"/>
        <family val="2"/>
        <scheme val="minor"/>
      </rPr>
      <t xml:space="preserve">‘Shri’
DHANWANTI MEDICALS
</t>
    </r>
    <r>
      <rPr>
        <b/>
        <sz val="12"/>
        <color theme="1"/>
        <rFont val="Calibri"/>
        <family val="2"/>
        <scheme val="minor"/>
      </rPr>
      <t>Connecting Road – Rupahi Ali – Dewal Road
Jorhat – 785001 (Assam)  Ph – 8876794013
License No. – D/JT/1137/1138  GSTIN – 18AFFPA078D1ZU</t>
    </r>
  </si>
  <si>
    <t>Patient Name</t>
  </si>
  <si>
    <t>Bill no.</t>
  </si>
  <si>
    <t>Date</t>
  </si>
  <si>
    <t>PRODUCT NAME</t>
  </si>
  <si>
    <t>BATCH</t>
  </si>
  <si>
    <t>MANUFACTURE</t>
  </si>
  <si>
    <t>EXP</t>
  </si>
  <si>
    <t>MRP</t>
  </si>
  <si>
    <t>QUANTITY</t>
  </si>
  <si>
    <t>AMOUNT (with GST)</t>
  </si>
  <si>
    <t>S. GLOVES 7NO</t>
  </si>
  <si>
    <t>H2026</t>
  </si>
  <si>
    <t>KANAM</t>
  </si>
  <si>
    <t>GLOVES 7.5NO</t>
  </si>
  <si>
    <t>E5032</t>
  </si>
  <si>
    <t>ROMSONS</t>
  </si>
  <si>
    <t>VICRYL</t>
  </si>
  <si>
    <t>T9003</t>
  </si>
  <si>
    <t>ETHICON</t>
  </si>
  <si>
    <t>SUTUPAK</t>
  </si>
  <si>
    <t>V1018</t>
  </si>
  <si>
    <t>MASK</t>
  </si>
  <si>
    <t>CAP</t>
  </si>
  <si>
    <t>PARACETAMOL IV</t>
  </si>
  <si>
    <t>T279</t>
  </si>
  <si>
    <t>NEON</t>
  </si>
  <si>
    <t>SUCTION CATHETER</t>
  </si>
  <si>
    <t>BLADE</t>
  </si>
  <si>
    <t>HMD</t>
  </si>
  <si>
    <t>IV CANNULA 18NO</t>
  </si>
  <si>
    <t>113B</t>
  </si>
  <si>
    <t>B. BROUN</t>
  </si>
  <si>
    <t>IV SET</t>
  </si>
  <si>
    <t>INJ. TROPIN</t>
  </si>
  <si>
    <t>INJ. LYSOFLAM AQ</t>
  </si>
  <si>
    <t>AC34</t>
  </si>
  <si>
    <t>CACHET</t>
  </si>
  <si>
    <t>INJ. FORTWIN</t>
  </si>
  <si>
    <t>ROMOVAC</t>
  </si>
  <si>
    <t>ABGEL</t>
  </si>
  <si>
    <t>J0720</t>
  </si>
  <si>
    <t>SRI GOPAL</t>
  </si>
  <si>
    <t>MERSILK 2.0</t>
  </si>
  <si>
    <t>V1015</t>
  </si>
  <si>
    <t>CATGUT 0</t>
  </si>
  <si>
    <t>B8036</t>
  </si>
  <si>
    <t>BOTROCLOT SOLUTION</t>
  </si>
  <si>
    <t>JUGGAT</t>
  </si>
  <si>
    <t>INJ. NITROPLUS</t>
  </si>
  <si>
    <t>TOTAL</t>
  </si>
  <si>
    <t>TOTAL in words</t>
  </si>
  <si>
    <t>Total Amount(without GST)</t>
  </si>
  <si>
    <t>CGST</t>
  </si>
  <si>
    <t>SGST</t>
  </si>
  <si>
    <t>1.	Please check the expiry dates of the medicines.
2.	Medicines once sold will not be taken back</t>
  </si>
  <si>
    <t>Signature</t>
  </si>
  <si>
    <t>Sl no.</t>
  </si>
  <si>
    <t>BILL NO. /DATE</t>
  </si>
  <si>
    <r>
      <t xml:space="preserve">‘Shri’
                                 DHANWANTI MEDICALS                   CHALLAN                                                                  </t>
    </r>
    <r>
      <rPr>
        <b/>
        <sz val="12"/>
        <rFont val="Calibri"/>
        <family val="2"/>
        <scheme val="minor"/>
      </rPr>
      <t xml:space="preserve">License No. – D/JT/1137/1138  GSTIN – 18AFFPA078D1ZU                  </t>
    </r>
  </si>
  <si>
    <t>QTY</t>
  </si>
  <si>
    <t xml:space="preserve">AMOUNT </t>
  </si>
  <si>
    <r>
      <rPr>
        <b/>
        <sz val="12"/>
        <color rgb="FF00B0F0"/>
        <rFont val="Calibri"/>
        <family val="2"/>
        <scheme val="minor"/>
      </rPr>
      <t xml:space="preserve">           ‘Shri’
                                                            DHANWANTI MEDICALS                           BILL INVOICE
</t>
    </r>
    <r>
      <rPr>
        <b/>
        <sz val="12"/>
        <color theme="1"/>
        <rFont val="Calibri"/>
        <family val="2"/>
        <scheme val="minor"/>
      </rPr>
      <t xml:space="preserve">                            Jorhat – 785001 (Assam)  Ph – 8876794013                                                      License No. – D/JT/1137/1138  GSTIN – 18AFFPA078D1ZU          </t>
    </r>
  </si>
  <si>
    <t>Product Name</t>
  </si>
  <si>
    <t>Batch</t>
  </si>
  <si>
    <t>Manufacturer</t>
  </si>
  <si>
    <t>Expiry</t>
  </si>
  <si>
    <t>713</t>
  </si>
  <si>
    <t>10% FRUCTODEX</t>
  </si>
  <si>
    <t>2046C</t>
  </si>
  <si>
    <t>R.B</t>
  </si>
  <si>
    <t>10CC SYIRINGE</t>
  </si>
  <si>
    <t>6NH1</t>
  </si>
  <si>
    <t>20CC SYNRINGE</t>
  </si>
  <si>
    <t>NJH2</t>
  </si>
  <si>
    <t>2CC SYIRINGE</t>
  </si>
  <si>
    <t>56SL1</t>
  </si>
  <si>
    <t>5CC SYIRINGE</t>
  </si>
  <si>
    <t>54JL1</t>
  </si>
  <si>
    <t>ACICROL O SYRUP</t>
  </si>
  <si>
    <t>2101</t>
  </si>
  <si>
    <t>PULSE</t>
  </si>
  <si>
    <t>ALBUMIN 100ML</t>
  </si>
  <si>
    <t>22083</t>
  </si>
  <si>
    <t>RELIANCE</t>
  </si>
  <si>
    <t>ALDACTONE 50MG TAB</t>
  </si>
  <si>
    <t>21013</t>
  </si>
  <si>
    <t>RPG</t>
  </si>
  <si>
    <t>ALKASOL SYP</t>
  </si>
  <si>
    <t>11960</t>
  </si>
  <si>
    <t>STADMED</t>
  </si>
  <si>
    <t>AMIKACIN 100MG</t>
  </si>
  <si>
    <t>ALKEM</t>
  </si>
  <si>
    <t>1310</t>
  </si>
  <si>
    <t>AMLODAC 2.5MG TAB</t>
  </si>
  <si>
    <t>358</t>
  </si>
  <si>
    <t>ZYDUS</t>
  </si>
  <si>
    <t>AMLODAC 5MG TAB</t>
  </si>
  <si>
    <t>3668</t>
  </si>
  <si>
    <t>AMOXYCLAV 625MG TAB</t>
  </si>
  <si>
    <t>C721</t>
  </si>
  <si>
    <t>GLAXO</t>
  </si>
  <si>
    <t>AZITHRAL 500MG TAB</t>
  </si>
  <si>
    <t>445</t>
  </si>
  <si>
    <t>WOCKHARD</t>
  </si>
  <si>
    <t>AZIWOK 500MG TAB</t>
  </si>
  <si>
    <t>WORKHARD</t>
  </si>
  <si>
    <t>BDQ SYTE</t>
  </si>
  <si>
    <t>6266</t>
  </si>
  <si>
    <t>BACTONE</t>
  </si>
  <si>
    <t>BIPLEX FORTE TAB</t>
  </si>
  <si>
    <t>240P</t>
  </si>
  <si>
    <t>ANGLO FRENCH</t>
  </si>
  <si>
    <t>5061</t>
  </si>
  <si>
    <t>BT SET</t>
  </si>
  <si>
    <t>49385</t>
  </si>
  <si>
    <t>BUDECORT RESPULES</t>
  </si>
  <si>
    <t>1808</t>
  </si>
  <si>
    <t>CIPLA</t>
  </si>
  <si>
    <t>CALDIKIND PLUS TAB</t>
  </si>
  <si>
    <t>V006</t>
  </si>
  <si>
    <t>MANKIND</t>
  </si>
  <si>
    <t>CALMPOSE INJ.</t>
  </si>
  <si>
    <t>751A</t>
  </si>
  <si>
    <t>SUN</t>
  </si>
  <si>
    <t>CAP. PEPTARD-D</t>
  </si>
  <si>
    <t>40418</t>
  </si>
  <si>
    <t>INDCHEMIE</t>
  </si>
  <si>
    <t>CAP. URIMAX 0.4</t>
  </si>
  <si>
    <t>20885</t>
  </si>
  <si>
    <t>CAP. URIMAX-D</t>
  </si>
  <si>
    <t>20015</t>
  </si>
  <si>
    <t>CETANIL 10MG TAB</t>
  </si>
  <si>
    <t>321</t>
  </si>
  <si>
    <t>ALEMBIC</t>
  </si>
  <si>
    <t>CETAPIN XR 500MG TAB</t>
  </si>
  <si>
    <t>G416</t>
  </si>
  <si>
    <t>SANOFI</t>
  </si>
  <si>
    <t>CYCLOPAM TAB</t>
  </si>
  <si>
    <t>3GC7</t>
  </si>
  <si>
    <t>INDOCO</t>
  </si>
  <si>
    <t>CYNOCAL LC TAB</t>
  </si>
  <si>
    <t>1618</t>
  </si>
  <si>
    <t>OZONE</t>
  </si>
  <si>
    <t>CYTOLOG 200 TAB</t>
  </si>
  <si>
    <t>GERMAN REMEDIES</t>
  </si>
  <si>
    <t>898</t>
  </si>
  <si>
    <t>D5 500ML</t>
  </si>
  <si>
    <t>J003N</t>
  </si>
  <si>
    <t>B.BROUN</t>
  </si>
  <si>
    <t>DELITUS-D SYP</t>
  </si>
  <si>
    <t>H0271</t>
  </si>
  <si>
    <t>ABBOTT</t>
  </si>
  <si>
    <t>DISTILLED WATER</t>
  </si>
  <si>
    <t>17F2</t>
  </si>
  <si>
    <t>BIOSCIENCE</t>
  </si>
  <si>
    <t>DIVALOX ER 250</t>
  </si>
  <si>
    <t>90254</t>
  </si>
  <si>
    <t>OXFORD</t>
  </si>
  <si>
    <t>DNS 500ML</t>
  </si>
  <si>
    <t>033N</t>
  </si>
  <si>
    <t>DUOLIN RESPULES</t>
  </si>
  <si>
    <t>21003</t>
  </si>
  <si>
    <t>DUPHALAC SYRUP</t>
  </si>
  <si>
    <t>30D7</t>
  </si>
  <si>
    <t>EBAST-M TAB</t>
  </si>
  <si>
    <t>S0050</t>
  </si>
  <si>
    <t>MICRO LABS</t>
  </si>
  <si>
    <t>ENEMA</t>
  </si>
  <si>
    <t>20017</t>
  </si>
  <si>
    <t>GL</t>
  </si>
  <si>
    <t>EPILEX TAB</t>
  </si>
  <si>
    <t>2054</t>
  </si>
  <si>
    <t>EVICT SYRUP</t>
  </si>
  <si>
    <t>8022</t>
  </si>
  <si>
    <t>ALBERT DEVID</t>
  </si>
  <si>
    <t>FEBUSTAT TAB</t>
  </si>
  <si>
    <t>22004</t>
  </si>
  <si>
    <t>FEEDING TUBE</t>
  </si>
  <si>
    <t>2715</t>
  </si>
  <si>
    <t>FERONEM ER 300 TAB</t>
  </si>
  <si>
    <t>95</t>
  </si>
  <si>
    <t>SUN PHARMA</t>
  </si>
  <si>
    <t>FOLEYS CATHETER</t>
  </si>
  <si>
    <t>1062</t>
  </si>
  <si>
    <t>FORCEF CV 500MG TAB</t>
  </si>
  <si>
    <t>1339</t>
  </si>
  <si>
    <t>ARISTO</t>
  </si>
  <si>
    <t>FORTIBILE 300MG TAB</t>
  </si>
  <si>
    <t>13256</t>
  </si>
  <si>
    <t>DEYS</t>
  </si>
  <si>
    <t>FRISIUM 10MG TAB</t>
  </si>
  <si>
    <t>G003</t>
  </si>
  <si>
    <t>FROCTODEX 10% WATER</t>
  </si>
  <si>
    <t>GLOVES</t>
  </si>
  <si>
    <t>2026</t>
  </si>
  <si>
    <t>GLOVES 7.0NO</t>
  </si>
  <si>
    <t>HIPENAC P TAB</t>
  </si>
  <si>
    <t>200</t>
  </si>
  <si>
    <t>INTAS</t>
  </si>
  <si>
    <t>HYPONAT O TAB</t>
  </si>
  <si>
    <t>1634</t>
  </si>
  <si>
    <t>INDCLAV 625MG TAB</t>
  </si>
  <si>
    <t>566</t>
  </si>
  <si>
    <t>INDCHMIE</t>
  </si>
  <si>
    <t>INJ. AMIKACIN 500MG</t>
  </si>
  <si>
    <t>160</t>
  </si>
  <si>
    <t>INJ. ATRACIL 25MG</t>
  </si>
  <si>
    <t>3209</t>
  </si>
  <si>
    <t>INJ. ATRACIL 50MG</t>
  </si>
  <si>
    <t>4074</t>
  </si>
  <si>
    <t>INJ. AVIL</t>
  </si>
  <si>
    <t>2066</t>
  </si>
  <si>
    <t>INJ. BUPRIJESIC</t>
  </si>
  <si>
    <t>4591</t>
  </si>
  <si>
    <t>INJ. BUSCOGAST</t>
  </si>
  <si>
    <t>22021</t>
  </si>
  <si>
    <t>INJ. BUSCOPAN</t>
  </si>
  <si>
    <t>INJ. CAL GLUCONATE</t>
  </si>
  <si>
    <t>9434</t>
  </si>
  <si>
    <t>INJ. CALCIUM GLUCUNATE</t>
  </si>
  <si>
    <t>69434</t>
  </si>
  <si>
    <t>INJ. CALMPOSE</t>
  </si>
  <si>
    <t>INJ. CARBITEX</t>
  </si>
  <si>
    <t>BSV</t>
  </si>
  <si>
    <t>2201</t>
  </si>
  <si>
    <t>INJ. CLAVAM 1.2GM</t>
  </si>
  <si>
    <t>2608</t>
  </si>
  <si>
    <t>INJ. CORT- S</t>
  </si>
  <si>
    <t>7955</t>
  </si>
  <si>
    <t>INJ. DERIPHYLLIN</t>
  </si>
  <si>
    <t>101433</t>
  </si>
  <si>
    <t>INJ. DEXONA</t>
  </si>
  <si>
    <t>505</t>
  </si>
  <si>
    <t>INJ. EFIPRES</t>
  </si>
  <si>
    <t>31051</t>
  </si>
  <si>
    <t xml:space="preserve">INJ. K -NAT </t>
  </si>
  <si>
    <t>KILITCH DRUGS</t>
  </si>
  <si>
    <t>A0012</t>
  </si>
  <si>
    <t>INJ. LANTUS</t>
  </si>
  <si>
    <t>214A</t>
  </si>
  <si>
    <t>INJ. LIZOLID 600MG</t>
  </si>
  <si>
    <t>1109</t>
  </si>
  <si>
    <t>ZYDUS SYNOVIA</t>
  </si>
  <si>
    <t>INJ. LOPEZ</t>
  </si>
  <si>
    <t>2006</t>
  </si>
  <si>
    <t>WAC42</t>
  </si>
  <si>
    <t xml:space="preserve">INJ. METHERGIN </t>
  </si>
  <si>
    <t>NOVARTIS</t>
  </si>
  <si>
    <t>SPAJ1</t>
  </si>
  <si>
    <t>INJ. METROGYL 100CC</t>
  </si>
  <si>
    <t>1651</t>
  </si>
  <si>
    <t>INJ. MIDAZOLAM</t>
  </si>
  <si>
    <t>4384</t>
  </si>
  <si>
    <t>INJ. MVI</t>
  </si>
  <si>
    <t>22093</t>
  </si>
  <si>
    <t>USV</t>
  </si>
  <si>
    <t>INJ. MYOPROLATE</t>
  </si>
  <si>
    <t>50292</t>
  </si>
  <si>
    <t>INJ. MYOSTIGMINE</t>
  </si>
  <si>
    <t>7010</t>
  </si>
  <si>
    <t>INJ. NEMTAZ 4.5GM</t>
  </si>
  <si>
    <t>055A</t>
  </si>
  <si>
    <t>NAMED HEATHCARE</t>
  </si>
  <si>
    <t>INJ. NEOTACH</t>
  </si>
  <si>
    <t>5908</t>
  </si>
  <si>
    <t>INJ. NETROMAX 300</t>
  </si>
  <si>
    <t>1004</t>
  </si>
  <si>
    <t>ZUVENTUS</t>
  </si>
  <si>
    <t>1046</t>
  </si>
  <si>
    <t>INJ. OFLOXACIN 100ML IV</t>
  </si>
  <si>
    <t>INJ. ONDEM</t>
  </si>
  <si>
    <t>184</t>
  </si>
  <si>
    <t>INJ. PAN 40</t>
  </si>
  <si>
    <t>30203</t>
  </si>
  <si>
    <t>INJ. PAN 40MG</t>
  </si>
  <si>
    <t>INJ. PARACETAMOL</t>
  </si>
  <si>
    <t>036N</t>
  </si>
  <si>
    <t>AHLCON</t>
  </si>
  <si>
    <t>INJ. PARACETAMOL IV</t>
  </si>
  <si>
    <t>INJ. PERINORM</t>
  </si>
  <si>
    <t>82BM</t>
  </si>
  <si>
    <t>IPCA</t>
  </si>
  <si>
    <t>INJ. PIPZO 4.5GM</t>
  </si>
  <si>
    <t>40368</t>
  </si>
  <si>
    <t>INJ. POLYBION</t>
  </si>
  <si>
    <t>59902</t>
  </si>
  <si>
    <t>PROCTER</t>
  </si>
  <si>
    <t>INJ. PROPOFAL</t>
  </si>
  <si>
    <t>9009</t>
  </si>
  <si>
    <t>INJ. PYROLATE</t>
  </si>
  <si>
    <t>4053</t>
  </si>
  <si>
    <t>INJ. RABLET IV</t>
  </si>
  <si>
    <t>22QP</t>
  </si>
  <si>
    <t>LUPIN</t>
  </si>
  <si>
    <t>INJ. RB TONE</t>
  </si>
  <si>
    <t>88</t>
  </si>
  <si>
    <t>MEDLEY</t>
  </si>
  <si>
    <t>INJ. STIMITIL</t>
  </si>
  <si>
    <t>G0140</t>
  </si>
  <si>
    <t>INJ. SUCOL</t>
  </si>
  <si>
    <t>8036</t>
  </si>
  <si>
    <t>INJ. SUPRIDOL 50</t>
  </si>
  <si>
    <t>8038</t>
  </si>
  <si>
    <t>INJ. SYNTOCINON</t>
  </si>
  <si>
    <t>026SP</t>
  </si>
  <si>
    <t>MYLAN</t>
  </si>
  <si>
    <t xml:space="preserve">INJ. TAZOWIN </t>
  </si>
  <si>
    <t>THEMS</t>
  </si>
  <si>
    <t>2024</t>
  </si>
  <si>
    <t>INJ. TERMIN</t>
  </si>
  <si>
    <t>7199</t>
  </si>
  <si>
    <t>INJ. THISOL</t>
  </si>
  <si>
    <t>2437</t>
  </si>
  <si>
    <t>INJ. TRAMADOL</t>
  </si>
  <si>
    <t>INJ. TRANOSTAT</t>
  </si>
  <si>
    <t>41346</t>
  </si>
  <si>
    <t>INJ. TROMADOL</t>
  </si>
  <si>
    <t>48041</t>
  </si>
  <si>
    <t>8092</t>
  </si>
  <si>
    <t>INJ. VERTIN</t>
  </si>
  <si>
    <t>140</t>
  </si>
  <si>
    <t>INJ.PRYOLATE</t>
  </si>
  <si>
    <t>IV CANNULA</t>
  </si>
  <si>
    <t>IV CANNULA 20NO</t>
  </si>
  <si>
    <t>IV CANNULA 24</t>
  </si>
  <si>
    <t>BRAUN</t>
  </si>
  <si>
    <t>9071</t>
  </si>
  <si>
    <t>KLIK CLAMP</t>
  </si>
  <si>
    <t>L541</t>
  </si>
  <si>
    <t>L-CN 500MG TAB</t>
  </si>
  <si>
    <t>983</t>
  </si>
  <si>
    <t>LOX 2% JELLY</t>
  </si>
  <si>
    <t>484</t>
  </si>
  <si>
    <t>H017</t>
  </si>
  <si>
    <t>LOX 2%(HEAVY)</t>
  </si>
  <si>
    <t>3417</t>
  </si>
  <si>
    <t>METROGYL 100CC</t>
  </si>
  <si>
    <t>2132</t>
  </si>
  <si>
    <t>METSMALL VX 50/500 TAB</t>
  </si>
  <si>
    <t>1039</t>
  </si>
  <si>
    <t>DR REDDYS</t>
  </si>
  <si>
    <t>MUCUS EXTRACTOR</t>
  </si>
  <si>
    <t>22383</t>
  </si>
  <si>
    <t>MULMIN SYP</t>
  </si>
  <si>
    <t>1001</t>
  </si>
  <si>
    <t>N. MASK (ADULT)</t>
  </si>
  <si>
    <t>40609</t>
  </si>
  <si>
    <t>NASIVION S</t>
  </si>
  <si>
    <t>PROC</t>
  </si>
  <si>
    <t>4501</t>
  </si>
  <si>
    <t>NEBULIZER MASK</t>
  </si>
  <si>
    <t>NEXPRO 40 TAB</t>
  </si>
  <si>
    <t>5J017</t>
  </si>
  <si>
    <t>TORRENT</t>
  </si>
  <si>
    <t>NS 100ML</t>
  </si>
  <si>
    <t>A06E</t>
  </si>
  <si>
    <t>NS 3%</t>
  </si>
  <si>
    <t>20159</t>
  </si>
  <si>
    <t>RUSOMA</t>
  </si>
  <si>
    <t>NS 500ML</t>
  </si>
  <si>
    <t>088N</t>
  </si>
  <si>
    <t>NS 500ML IV</t>
  </si>
  <si>
    <t>J010N</t>
  </si>
  <si>
    <t>NUROBION FORTE TAB</t>
  </si>
  <si>
    <t>3903</t>
  </si>
  <si>
    <t>P&amp;G</t>
  </si>
  <si>
    <t>OZOREX 500MG TAB</t>
  </si>
  <si>
    <t>OZON</t>
  </si>
  <si>
    <t>P-500MG TAB</t>
  </si>
  <si>
    <t>22029</t>
  </si>
  <si>
    <t>APEX</t>
  </si>
  <si>
    <t>PAN 40 TAB</t>
  </si>
  <si>
    <t>2832</t>
  </si>
  <si>
    <t>PEN NEEDLE</t>
  </si>
  <si>
    <t>2147</t>
  </si>
  <si>
    <t>BECTOR</t>
  </si>
  <si>
    <t>PEPTARD- D CAP</t>
  </si>
  <si>
    <t>PERACETAMOL INFUSSION</t>
  </si>
  <si>
    <t>POTKLOR SYRUP</t>
  </si>
  <si>
    <t>1342</t>
  </si>
  <si>
    <t>M.&amp;.H</t>
  </si>
  <si>
    <t>PROTOCHECK 40 TAB</t>
  </si>
  <si>
    <t>2115</t>
  </si>
  <si>
    <t>PROVENZE PRO. POWDER</t>
  </si>
  <si>
    <t>21175</t>
  </si>
  <si>
    <t>MAKSHI</t>
  </si>
  <si>
    <t>RB TONE INJ.</t>
  </si>
  <si>
    <t>REDOTRIL TAB</t>
  </si>
  <si>
    <t>2345</t>
  </si>
  <si>
    <t>RIFAGUT 550 TAB</t>
  </si>
  <si>
    <t>1167A</t>
  </si>
  <si>
    <t>RIFAXIMIN 550 TAB</t>
  </si>
  <si>
    <t>RL 500ML</t>
  </si>
  <si>
    <t>031N</t>
  </si>
  <si>
    <t>ROZUPLAT TAB</t>
  </si>
  <si>
    <t>B054</t>
  </si>
  <si>
    <t>RYLES TUBE</t>
  </si>
  <si>
    <t>10712</t>
  </si>
  <si>
    <t>RYZODEG FLEXPEN</t>
  </si>
  <si>
    <t>9694</t>
  </si>
  <si>
    <t>NOVO</t>
  </si>
  <si>
    <t>SERUTAN TAB</t>
  </si>
  <si>
    <t>2003</t>
  </si>
  <si>
    <t>TTK HEATHCARE</t>
  </si>
  <si>
    <t>SPINOCAN NEEDLE</t>
  </si>
  <si>
    <t>G8216</t>
  </si>
  <si>
    <t xml:space="preserve">STIMITIL 5MG  TAB </t>
  </si>
  <si>
    <t>SUCRAFIL O SYRUP</t>
  </si>
  <si>
    <t>1180</t>
  </si>
  <si>
    <t>FOURRTS</t>
  </si>
  <si>
    <t>SYP. A TO Z</t>
  </si>
  <si>
    <t>078GH</t>
  </si>
  <si>
    <t>SYP.DELETUS-D</t>
  </si>
  <si>
    <t>297</t>
  </si>
  <si>
    <t>SYRINGE 10CC</t>
  </si>
  <si>
    <t>4NH2</t>
  </si>
  <si>
    <t>SYRINGE 2CC</t>
  </si>
  <si>
    <t>6SL1</t>
  </si>
  <si>
    <t>SYRINGE 2ML</t>
  </si>
  <si>
    <t>M8203</t>
  </si>
  <si>
    <t>SYRINGE 5CC</t>
  </si>
  <si>
    <t>SYRUP DEXORANGE</t>
  </si>
  <si>
    <t>FRANCO INDIAN</t>
  </si>
  <si>
    <t>SYRUP POTKLOR</t>
  </si>
  <si>
    <t>MARTIN</t>
  </si>
  <si>
    <t>TAB BILACHEK M</t>
  </si>
  <si>
    <t>QV009</t>
  </si>
  <si>
    <t>TAB FORTIBILE 300MG</t>
  </si>
  <si>
    <t>TAB GLYCIPHAGE SR 500</t>
  </si>
  <si>
    <t>2039</t>
  </si>
  <si>
    <t>TAB MUCINAC 600MG</t>
  </si>
  <si>
    <t>10409</t>
  </si>
  <si>
    <t>TAB P-650</t>
  </si>
  <si>
    <t>21055</t>
  </si>
  <si>
    <t>TAB REDOTRIL</t>
  </si>
  <si>
    <t>TAB RIFAXIMIN 550</t>
  </si>
  <si>
    <t>TAB TELSAR 40</t>
  </si>
  <si>
    <t>J006</t>
  </si>
  <si>
    <t>TAB UNICONTIN E 400</t>
  </si>
  <si>
    <t>1422</t>
  </si>
  <si>
    <t>MODI</t>
  </si>
  <si>
    <t>TAB. AMTAS 5MG</t>
  </si>
  <si>
    <t>TAXIM 125MG INJ</t>
  </si>
  <si>
    <t>60920</t>
  </si>
  <si>
    <t>TAXIM O 200MG TAB</t>
  </si>
  <si>
    <t>80629</t>
  </si>
  <si>
    <t>TELSAR 20MG TAB</t>
  </si>
  <si>
    <t>TELSAR 40 TAB</t>
  </si>
  <si>
    <t>1J006</t>
  </si>
  <si>
    <t>TELSAR 40MG TAB</t>
  </si>
  <si>
    <t>1J017</t>
  </si>
  <si>
    <t>THYROX 50MG TAB</t>
  </si>
  <si>
    <t>1990</t>
  </si>
  <si>
    <t>TWINCAL TAB</t>
  </si>
  <si>
    <t>SB004</t>
  </si>
  <si>
    <t>UDILIV 300MG TAB</t>
  </si>
  <si>
    <t>4017</t>
  </si>
  <si>
    <t>UNICONTIN E 400 TAB</t>
  </si>
  <si>
    <t>1021</t>
  </si>
  <si>
    <t>URO BAG</t>
  </si>
  <si>
    <t>URSOCOL 300MG TA</t>
  </si>
  <si>
    <t>852A</t>
  </si>
  <si>
    <t>URSOMED TAB</t>
  </si>
  <si>
    <t>871</t>
  </si>
  <si>
    <t>MEDIMERZ</t>
  </si>
  <si>
    <t>V LACT M 500MG TA</t>
  </si>
  <si>
    <t>22012</t>
  </si>
  <si>
    <t>PANACEA BIOTECK</t>
  </si>
  <si>
    <t>VERTIN 16 MG TAB</t>
  </si>
  <si>
    <t>22010</t>
  </si>
  <si>
    <t>VERTIN 8MG TAB</t>
  </si>
  <si>
    <t>21009</t>
  </si>
  <si>
    <t>VILDAPHAGE M 50/500</t>
  </si>
  <si>
    <t>1030</t>
  </si>
  <si>
    <t>XYLOCAINE LOX 2%</t>
  </si>
  <si>
    <t>ZECAL GOLD TAB</t>
  </si>
  <si>
    <t>40219</t>
  </si>
  <si>
    <t>ZENTEL 400MG TAB</t>
  </si>
  <si>
    <t>P864</t>
  </si>
  <si>
    <t>GSK</t>
  </si>
  <si>
    <t>ANAWIN HEAVY</t>
  </si>
  <si>
    <t>J.P.</t>
  </si>
  <si>
    <t>CARBITEX</t>
  </si>
  <si>
    <t>B.BRAUN</t>
  </si>
  <si>
    <t>INJ. RABLET</t>
  </si>
  <si>
    <t>INJ. METROGYL</t>
  </si>
  <si>
    <t>INJ. LUPINEM</t>
  </si>
  <si>
    <t>SYP. B-COMPLEX</t>
  </si>
  <si>
    <t>2067H</t>
  </si>
  <si>
    <t>GALPHA</t>
  </si>
  <si>
    <t>TAB. LIMCEE</t>
  </si>
  <si>
    <t>ABBOT</t>
  </si>
  <si>
    <t>INJ. DYNAPAR AQ</t>
  </si>
  <si>
    <t>S448</t>
  </si>
  <si>
    <t>TROLKA</t>
  </si>
  <si>
    <t>1ST</t>
  </si>
  <si>
    <t xml:space="preserve">TAB. LYSOFLAME </t>
  </si>
  <si>
    <t>119C</t>
  </si>
  <si>
    <r>
      <rPr>
        <b/>
        <sz val="11"/>
        <color theme="1"/>
        <rFont val="Calibri"/>
        <family val="2"/>
        <scheme val="minor"/>
      </rPr>
      <t>Date</t>
    </r>
    <r>
      <rPr>
        <sz val="11"/>
        <color theme="1"/>
        <rFont val="Calibri"/>
        <family val="2"/>
        <scheme val="minor"/>
      </rPr>
      <t>: 26-03-2023</t>
    </r>
  </si>
  <si>
    <t>ZYDUS SYN</t>
  </si>
  <si>
    <r>
      <rPr>
        <b/>
        <sz val="11"/>
        <color theme="1"/>
        <rFont val="Calibri"/>
        <family val="2"/>
        <scheme val="minor"/>
      </rPr>
      <t>Date</t>
    </r>
    <r>
      <rPr>
        <sz val="11"/>
        <color theme="1"/>
        <rFont val="Calibri"/>
        <family val="2"/>
        <scheme val="minor"/>
      </rPr>
      <t>: 27-03-2023</t>
    </r>
  </si>
  <si>
    <t>Bill no.ESI/1321</t>
  </si>
  <si>
    <t>Bill no.ESI/1320</t>
  </si>
  <si>
    <t>STEROFURDIN</t>
  </si>
  <si>
    <t>059E</t>
  </si>
  <si>
    <t>1319/25-3-23</t>
  </si>
  <si>
    <t>KABITA GOGOI(ESIC/S.H.R.C.)</t>
  </si>
  <si>
    <t>Bill no.ESI/</t>
  </si>
  <si>
    <r>
      <rPr>
        <b/>
        <sz val="11"/>
        <color theme="1"/>
        <rFont val="Calibri"/>
        <family val="2"/>
        <scheme val="minor"/>
      </rPr>
      <t>Date</t>
    </r>
    <r>
      <rPr>
        <sz val="11"/>
        <color theme="1"/>
        <rFont val="Calibri"/>
        <family val="2"/>
        <scheme val="minor"/>
      </rPr>
      <t>:03-04-2023</t>
    </r>
  </si>
  <si>
    <r>
      <rPr>
        <b/>
        <sz val="11"/>
        <color theme="1"/>
        <rFont val="Calibri"/>
        <family val="2"/>
        <scheme val="minor"/>
      </rPr>
      <t>Date</t>
    </r>
    <r>
      <rPr>
        <sz val="11"/>
        <color theme="1"/>
        <rFont val="Calibri"/>
        <family val="2"/>
        <scheme val="minor"/>
      </rPr>
      <t>: 03-04-2023</t>
    </r>
  </si>
  <si>
    <r>
      <rPr>
        <b/>
        <sz val="11"/>
        <color theme="1"/>
        <rFont val="Calibri"/>
        <family val="2"/>
        <scheme val="minor"/>
      </rPr>
      <t>Date</t>
    </r>
    <r>
      <rPr>
        <sz val="11"/>
        <color theme="1"/>
        <rFont val="Calibri"/>
        <family val="2"/>
        <scheme val="minor"/>
      </rPr>
      <t>: 04-04-2023</t>
    </r>
  </si>
  <si>
    <r>
      <rPr>
        <b/>
        <sz val="11"/>
        <color theme="1"/>
        <rFont val="Calibri"/>
        <family val="2"/>
        <scheme val="minor"/>
      </rPr>
      <t>Date</t>
    </r>
    <r>
      <rPr>
        <sz val="11"/>
        <color theme="1"/>
        <rFont val="Calibri"/>
        <family val="2"/>
        <scheme val="minor"/>
      </rPr>
      <t>: 05-04-2023</t>
    </r>
  </si>
  <si>
    <r>
      <rPr>
        <b/>
        <sz val="11"/>
        <color theme="1"/>
        <rFont val="Calibri"/>
        <family val="2"/>
        <scheme val="minor"/>
      </rPr>
      <t>Date</t>
    </r>
    <r>
      <rPr>
        <sz val="11"/>
        <color theme="1"/>
        <rFont val="Calibri"/>
        <family val="2"/>
        <scheme val="minor"/>
      </rPr>
      <t>: 06-04-2023</t>
    </r>
  </si>
  <si>
    <r>
      <rPr>
        <b/>
        <sz val="11"/>
        <color theme="1"/>
        <rFont val="Calibri"/>
        <family val="2"/>
        <scheme val="minor"/>
      </rPr>
      <t>Date</t>
    </r>
    <r>
      <rPr>
        <sz val="11"/>
        <color theme="1"/>
        <rFont val="Calibri"/>
        <family val="2"/>
        <scheme val="minor"/>
      </rPr>
      <t>: 07-04-2023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</si>
</sst>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B0F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8"/>
      <color rgb="FF000000"/>
      <name val="Calibri"/>
      <family val="2"/>
      <scheme val="minor"/>
    </font>
    <font>
      <b/>
      <sz val="12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2">
    <xf numFmtId="0" fontId="0" fillId="0" borderId="0" xfId="0"/>
    <xf numFmtId="0" fontId="1" fillId="0" borderId="0" xfId="0" applyFont="1"/>
    <xf numFmtId="0" fontId="5" fillId="0" borderId="9" xfId="0" applyFont="1" applyBorder="1" applyAlignment="1">
      <alignment horizontal="center" vertical="center"/>
    </xf>
    <xf numFmtId="0" fontId="5" fillId="0" borderId="9" xfId="0" applyFont="1" applyBorder="1" applyAlignment="1">
      <alignment horizontal="right" vertical="center"/>
    </xf>
    <xf numFmtId="0" fontId="0" fillId="0" borderId="9" xfId="0" applyBorder="1"/>
    <xf numFmtId="0" fontId="0" fillId="0" borderId="9" xfId="0" applyBorder="1" applyAlignment="1">
      <alignment horizontal="right"/>
    </xf>
    <xf numFmtId="16" fontId="0" fillId="0" borderId="9" xfId="0" applyNumberFormat="1" applyBorder="1"/>
    <xf numFmtId="0" fontId="0" fillId="0" borderId="9" xfId="0" applyBorder="1" applyAlignment="1">
      <alignment vertical="center"/>
    </xf>
    <xf numFmtId="0" fontId="6" fillId="0" borderId="9" xfId="0" applyFont="1" applyBorder="1" applyAlignment="1">
      <alignment horizontal="right" vertical="center"/>
    </xf>
    <xf numFmtId="0" fontId="5" fillId="0" borderId="9" xfId="0" applyFont="1" applyBorder="1" applyAlignment="1">
      <alignment vertical="center"/>
    </xf>
    <xf numFmtId="0" fontId="1" fillId="0" borderId="9" xfId="0" applyFont="1" applyBorder="1"/>
    <xf numFmtId="0" fontId="2" fillId="0" borderId="0" xfId="0" applyFont="1" applyAlignment="1">
      <alignment wrapText="1"/>
    </xf>
    <xf numFmtId="0" fontId="0" fillId="0" borderId="0" xfId="0" applyAlignment="1">
      <alignment vertical="top"/>
    </xf>
    <xf numFmtId="14" fontId="0" fillId="0" borderId="0" xfId="0" applyNumberFormat="1"/>
    <xf numFmtId="0" fontId="8" fillId="0" borderId="9" xfId="0" applyFont="1" applyBorder="1"/>
    <xf numFmtId="0" fontId="8" fillId="0" borderId="9" xfId="0" applyFont="1" applyBorder="1" applyAlignment="1">
      <alignment horizontal="right"/>
    </xf>
    <xf numFmtId="16" fontId="8" fillId="0" borderId="9" xfId="0" applyNumberFormat="1" applyFont="1" applyBorder="1"/>
    <xf numFmtId="0" fontId="9" fillId="0" borderId="9" xfId="0" applyFont="1" applyBorder="1" applyAlignment="1">
      <alignment vertical="center"/>
    </xf>
    <xf numFmtId="0" fontId="1" fillId="0" borderId="9" xfId="0" applyFont="1" applyBorder="1" applyAlignment="1">
      <alignment vertical="center"/>
    </xf>
    <xf numFmtId="0" fontId="1" fillId="0" borderId="9" xfId="0" applyFont="1" applyBorder="1" applyAlignment="1">
      <alignment wrapText="1"/>
    </xf>
    <xf numFmtId="0" fontId="8" fillId="0" borderId="9" xfId="0" applyFont="1" applyBorder="1" applyAlignment="1">
      <alignment vertical="center"/>
    </xf>
    <xf numFmtId="17" fontId="8" fillId="0" borderId="9" xfId="0" applyNumberFormat="1" applyFont="1" applyBorder="1" applyAlignment="1">
      <alignment horizontal="right"/>
    </xf>
    <xf numFmtId="14" fontId="0" fillId="0" borderId="9" xfId="0" applyNumberFormat="1" applyBorder="1"/>
    <xf numFmtId="17" fontId="0" fillId="0" borderId="9" xfId="0" applyNumberFormat="1" applyBorder="1"/>
    <xf numFmtId="16" fontId="8" fillId="0" borderId="9" xfId="0" applyNumberFormat="1" applyFont="1" applyBorder="1" applyAlignment="1">
      <alignment horizontal="right"/>
    </xf>
    <xf numFmtId="0" fontId="0" fillId="0" borderId="9" xfId="0" applyBorder="1" applyAlignment="1">
      <alignment horizontal="left"/>
    </xf>
    <xf numFmtId="0" fontId="8" fillId="0" borderId="9" xfId="0" applyFont="1" applyBorder="1" applyAlignment="1">
      <alignment horizontal="left"/>
    </xf>
    <xf numFmtId="0" fontId="3" fillId="0" borderId="1" xfId="0" applyFont="1" applyBorder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0" borderId="3" xfId="0" applyFont="1" applyBorder="1" applyAlignment="1">
      <alignment horizontal="center" vertical="top" wrapText="1"/>
    </xf>
    <xf numFmtId="0" fontId="2" fillId="0" borderId="4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2" fillId="0" borderId="5" xfId="0" applyFont="1" applyBorder="1" applyAlignment="1">
      <alignment horizontal="center" vertical="top" wrapText="1"/>
    </xf>
    <xf numFmtId="0" fontId="2" fillId="0" borderId="6" xfId="0" applyFont="1" applyBorder="1" applyAlignment="1">
      <alignment horizontal="center" vertical="top" wrapText="1"/>
    </xf>
    <xf numFmtId="0" fontId="2" fillId="0" borderId="7" xfId="0" applyFont="1" applyBorder="1" applyAlignment="1">
      <alignment horizontal="center" vertical="top" wrapText="1"/>
    </xf>
    <xf numFmtId="0" fontId="2" fillId="0" borderId="8" xfId="0" applyFont="1" applyBorder="1" applyAlignment="1">
      <alignment horizontal="center" vertical="top" wrapText="1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top" wrapText="1"/>
    </xf>
    <xf numFmtId="0" fontId="1" fillId="0" borderId="9" xfId="0" applyFont="1" applyBorder="1" applyAlignment="1">
      <alignment horizontal="center" vertical="top"/>
    </xf>
    <xf numFmtId="0" fontId="2" fillId="0" borderId="1" xfId="0" applyFont="1" applyBorder="1" applyAlignment="1">
      <alignment horizontal="center" wrapText="1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9" xfId="0" applyFont="1" applyBorder="1" applyAlignment="1">
      <alignment horizontal="right"/>
    </xf>
    <xf numFmtId="0" fontId="4" fillId="0" borderId="9" xfId="0" applyFont="1" applyBorder="1" applyAlignment="1">
      <alignment horizontal="center" vertical="center"/>
    </xf>
    <xf numFmtId="0" fontId="1" fillId="0" borderId="9" xfId="0" applyFont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1" fillId="0" borderId="9" xfId="0" applyFont="1" applyBorder="1"/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 vertical="center"/>
    </xf>
    <xf numFmtId="0" fontId="0" fillId="0" borderId="9" xfId="0" applyBorder="1" applyAlignment="1">
      <alignment horizontal="center"/>
    </xf>
  </cellXfs>
  <cellStyles count="1">
    <cellStyle name="Normal" xfId="0" builtinId="0"/>
  </cellStyles>
  <dxfs count="1"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Inventory" connectionId="1" xr16:uid="{00000000-0016-0000-0000-000000000000}" autoFormatId="16" applyNumberFormats="0" applyBorderFormats="0" applyFontFormats="0" applyPatternFormats="0" applyAlignmentFormats="0" applyWidthHeightFormats="0">
  <queryTableRefresh nextId="6">
    <queryTableFields count="5">
      <queryTableField id="1" name="Product Name" tableColumnId="1"/>
      <queryTableField id="2" name="Batch" tableColumnId="2"/>
      <queryTableField id="3" name="Manufacturer" tableColumnId="3"/>
      <queryTableField id="4" name="Expiry" tableColumnId="4"/>
      <queryTableField id="5" name="MRP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Inventory" displayName="Table_Inventory" ref="A1:E1731" tableType="queryTable" totalsRowShown="0">
  <autoFilter ref="A1:E1731" xr:uid="{00000000-0009-0000-0100-000001000000}"/>
  <tableColumns count="5">
    <tableColumn id="1" xr3:uid="{00000000-0010-0000-0000-000001000000}" uniqueName="1" name="Product Name" queryTableFieldId="1"/>
    <tableColumn id="2" xr3:uid="{00000000-0010-0000-0000-000002000000}" uniqueName="2" name="Batch" queryTableFieldId="2"/>
    <tableColumn id="3" xr3:uid="{00000000-0010-0000-0000-000003000000}" uniqueName="3" name="Manufacturer" queryTableFieldId="3"/>
    <tableColumn id="4" xr3:uid="{00000000-0010-0000-0000-000004000000}" uniqueName="4" name="Expiry" queryTableFieldId="4" dataDxfId="0"/>
    <tableColumn id="5" xr3:uid="{00000000-0010-0000-0000-000005000000}" uniqueName="5" name="MRP" queryTableField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E1731"/>
  <sheetViews>
    <sheetView workbookViewId="0">
      <selection activeCell="A53" sqref="A53:E53"/>
    </sheetView>
  </sheetViews>
  <sheetFormatPr defaultRowHeight="14.5" x14ac:dyDescent="0.35"/>
  <cols>
    <col min="1" max="1" width="24.54296875" bestFit="1" customWidth="1"/>
    <col min="2" max="2" width="18.26953125" bestFit="1" customWidth="1"/>
    <col min="3" max="3" width="18.81640625" bestFit="1" customWidth="1"/>
    <col min="4" max="4" width="10.453125" bestFit="1" customWidth="1"/>
    <col min="5" max="5" width="8" bestFit="1" customWidth="1"/>
  </cols>
  <sheetData>
    <row r="1" spans="1:5" x14ac:dyDescent="0.35">
      <c r="A1" t="s">
        <v>63</v>
      </c>
      <c r="B1" t="s">
        <v>64</v>
      </c>
      <c r="C1" t="s">
        <v>65</v>
      </c>
      <c r="D1" t="s">
        <v>66</v>
      </c>
      <c r="E1" t="s">
        <v>8</v>
      </c>
    </row>
    <row r="2" spans="1:5" x14ac:dyDescent="0.35">
      <c r="A2" t="s">
        <v>33</v>
      </c>
      <c r="B2" t="s">
        <v>67</v>
      </c>
      <c r="C2" t="s">
        <v>16</v>
      </c>
      <c r="D2" s="13">
        <v>46631</v>
      </c>
      <c r="E2">
        <v>176</v>
      </c>
    </row>
    <row r="3" spans="1:5" x14ac:dyDescent="0.35">
      <c r="A3" t="s">
        <v>68</v>
      </c>
      <c r="B3" t="s">
        <v>69</v>
      </c>
      <c r="C3" t="s">
        <v>70</v>
      </c>
      <c r="D3" s="13">
        <v>45192</v>
      </c>
      <c r="E3">
        <v>170</v>
      </c>
    </row>
    <row r="4" spans="1:5" x14ac:dyDescent="0.35">
      <c r="A4" t="s">
        <v>71</v>
      </c>
      <c r="B4" t="s">
        <v>72</v>
      </c>
      <c r="C4" t="s">
        <v>29</v>
      </c>
      <c r="D4" s="13">
        <v>45257</v>
      </c>
      <c r="E4">
        <v>11</v>
      </c>
    </row>
    <row r="5" spans="1:5" x14ac:dyDescent="0.35">
      <c r="A5" t="s">
        <v>73</v>
      </c>
      <c r="B5" t="s">
        <v>74</v>
      </c>
      <c r="C5" t="s">
        <v>29</v>
      </c>
      <c r="D5" s="13">
        <v>44984</v>
      </c>
      <c r="E5">
        <v>23</v>
      </c>
    </row>
    <row r="6" spans="1:5" x14ac:dyDescent="0.35">
      <c r="A6" t="s">
        <v>75</v>
      </c>
      <c r="B6" t="s">
        <v>76</v>
      </c>
      <c r="C6" t="s">
        <v>29</v>
      </c>
      <c r="D6" s="13">
        <v>45012</v>
      </c>
      <c r="E6">
        <v>7</v>
      </c>
    </row>
    <row r="7" spans="1:5" x14ac:dyDescent="0.35">
      <c r="A7" t="s">
        <v>77</v>
      </c>
      <c r="B7" t="s">
        <v>78</v>
      </c>
      <c r="C7" t="s">
        <v>29</v>
      </c>
      <c r="D7" s="13">
        <v>45043</v>
      </c>
      <c r="E7">
        <v>8</v>
      </c>
    </row>
    <row r="8" spans="1:5" x14ac:dyDescent="0.35">
      <c r="A8" t="s">
        <v>40</v>
      </c>
      <c r="B8" t="s">
        <v>41</v>
      </c>
      <c r="C8" t="s">
        <v>42</v>
      </c>
      <c r="D8" s="13">
        <v>44950</v>
      </c>
      <c r="E8">
        <v>160</v>
      </c>
    </row>
    <row r="9" spans="1:5" x14ac:dyDescent="0.35">
      <c r="A9" t="s">
        <v>79</v>
      </c>
      <c r="B9" t="s">
        <v>80</v>
      </c>
      <c r="C9" t="s">
        <v>81</v>
      </c>
      <c r="D9" s="13">
        <v>45100</v>
      </c>
      <c r="E9">
        <v>198.9</v>
      </c>
    </row>
    <row r="10" spans="1:5" x14ac:dyDescent="0.35">
      <c r="A10" t="s">
        <v>82</v>
      </c>
      <c r="B10" t="s">
        <v>83</v>
      </c>
      <c r="C10" t="s">
        <v>84</v>
      </c>
      <c r="D10" s="13">
        <v>45255</v>
      </c>
      <c r="E10">
        <v>7325.23</v>
      </c>
    </row>
    <row r="11" spans="1:5" x14ac:dyDescent="0.35">
      <c r="A11" t="s">
        <v>85</v>
      </c>
      <c r="B11" t="s">
        <v>86</v>
      </c>
      <c r="C11" t="s">
        <v>87</v>
      </c>
      <c r="D11" s="13">
        <v>45254</v>
      </c>
      <c r="E11">
        <v>63.75</v>
      </c>
    </row>
    <row r="12" spans="1:5" x14ac:dyDescent="0.35">
      <c r="A12" t="s">
        <v>88</v>
      </c>
      <c r="B12" t="s">
        <v>89</v>
      </c>
      <c r="C12" t="s">
        <v>90</v>
      </c>
      <c r="D12" s="13">
        <v>45778</v>
      </c>
      <c r="E12">
        <v>122.05</v>
      </c>
    </row>
    <row r="13" spans="1:5" x14ac:dyDescent="0.35">
      <c r="A13" t="s">
        <v>91</v>
      </c>
      <c r="B13" t="s">
        <v>92</v>
      </c>
      <c r="C13" t="s">
        <v>93</v>
      </c>
      <c r="D13" s="13">
        <v>44982</v>
      </c>
      <c r="E13">
        <v>30</v>
      </c>
    </row>
    <row r="14" spans="1:5" x14ac:dyDescent="0.35">
      <c r="A14" t="s">
        <v>94</v>
      </c>
      <c r="B14" t="s">
        <v>95</v>
      </c>
      <c r="C14" t="s">
        <v>96</v>
      </c>
      <c r="D14" s="13">
        <v>45292</v>
      </c>
      <c r="E14">
        <v>55.61</v>
      </c>
    </row>
    <row r="15" spans="1:5" x14ac:dyDescent="0.35">
      <c r="A15" t="s">
        <v>97</v>
      </c>
      <c r="B15" t="s">
        <v>98</v>
      </c>
      <c r="C15" t="s">
        <v>96</v>
      </c>
      <c r="D15" s="13">
        <v>45474</v>
      </c>
      <c r="E15">
        <v>97.1</v>
      </c>
    </row>
    <row r="16" spans="1:5" x14ac:dyDescent="0.35">
      <c r="A16" t="s">
        <v>99</v>
      </c>
      <c r="B16" t="s">
        <v>100</v>
      </c>
      <c r="C16" t="s">
        <v>101</v>
      </c>
      <c r="D16" s="13">
        <v>45200</v>
      </c>
      <c r="E16">
        <v>223.42</v>
      </c>
    </row>
    <row r="17" spans="1:5" x14ac:dyDescent="0.35">
      <c r="A17" t="s">
        <v>102</v>
      </c>
      <c r="B17" t="s">
        <v>103</v>
      </c>
      <c r="C17" t="s">
        <v>104</v>
      </c>
      <c r="D17" s="13">
        <v>45108</v>
      </c>
      <c r="E17">
        <v>119.5</v>
      </c>
    </row>
    <row r="18" spans="1:5" x14ac:dyDescent="0.35">
      <c r="A18" t="s">
        <v>105</v>
      </c>
      <c r="B18" t="s">
        <v>103</v>
      </c>
      <c r="C18" t="s">
        <v>106</v>
      </c>
      <c r="D18" s="13">
        <v>45108</v>
      </c>
      <c r="E18">
        <v>119.5</v>
      </c>
    </row>
    <row r="19" spans="1:5" x14ac:dyDescent="0.35">
      <c r="A19" t="s">
        <v>107</v>
      </c>
      <c r="B19" t="s">
        <v>108</v>
      </c>
      <c r="C19" t="s">
        <v>109</v>
      </c>
      <c r="D19" s="13">
        <v>44981</v>
      </c>
      <c r="E19">
        <v>473</v>
      </c>
    </row>
    <row r="20" spans="1:5" x14ac:dyDescent="0.35">
      <c r="A20" t="s">
        <v>110</v>
      </c>
      <c r="B20" t="s">
        <v>111</v>
      </c>
      <c r="C20" t="s">
        <v>112</v>
      </c>
      <c r="D20" s="13">
        <v>45505</v>
      </c>
      <c r="E20">
        <v>42.77</v>
      </c>
    </row>
    <row r="21" spans="1:5" x14ac:dyDescent="0.35">
      <c r="A21" t="s">
        <v>47</v>
      </c>
      <c r="B21" t="s">
        <v>113</v>
      </c>
      <c r="C21" t="s">
        <v>48</v>
      </c>
      <c r="D21" s="13">
        <v>45040</v>
      </c>
      <c r="E21">
        <v>153</v>
      </c>
    </row>
    <row r="22" spans="1:5" x14ac:dyDescent="0.35">
      <c r="A22" t="s">
        <v>114</v>
      </c>
      <c r="B22" t="s">
        <v>115</v>
      </c>
      <c r="C22" t="s">
        <v>16</v>
      </c>
      <c r="D22" s="13">
        <v>46235</v>
      </c>
      <c r="E22">
        <v>179</v>
      </c>
    </row>
    <row r="23" spans="1:5" x14ac:dyDescent="0.35">
      <c r="A23" t="s">
        <v>116</v>
      </c>
      <c r="B23" t="s">
        <v>117</v>
      </c>
      <c r="C23" t="s">
        <v>118</v>
      </c>
      <c r="D23" s="13">
        <v>45444</v>
      </c>
      <c r="E23">
        <v>132.30000000000001</v>
      </c>
    </row>
    <row r="24" spans="1:5" x14ac:dyDescent="0.35">
      <c r="A24" t="s">
        <v>119</v>
      </c>
      <c r="B24" t="s">
        <v>120</v>
      </c>
      <c r="C24" t="s">
        <v>121</v>
      </c>
      <c r="D24" s="13">
        <v>45078</v>
      </c>
      <c r="E24">
        <v>145</v>
      </c>
    </row>
    <row r="25" spans="1:5" x14ac:dyDescent="0.35">
      <c r="A25" t="s">
        <v>122</v>
      </c>
      <c r="B25" t="s">
        <v>123</v>
      </c>
      <c r="C25" t="s">
        <v>124</v>
      </c>
      <c r="D25" s="13">
        <v>45041</v>
      </c>
      <c r="E25">
        <v>15</v>
      </c>
    </row>
    <row r="26" spans="1:5" x14ac:dyDescent="0.35">
      <c r="A26" t="s">
        <v>125</v>
      </c>
      <c r="B26" t="s">
        <v>126</v>
      </c>
      <c r="C26" t="s">
        <v>127</v>
      </c>
      <c r="D26" s="13">
        <v>45040</v>
      </c>
      <c r="E26">
        <v>179.5</v>
      </c>
    </row>
    <row r="27" spans="1:5" x14ac:dyDescent="0.35">
      <c r="A27" t="s">
        <v>128</v>
      </c>
      <c r="B27" t="s">
        <v>129</v>
      </c>
      <c r="C27" t="s">
        <v>118</v>
      </c>
      <c r="D27" s="13">
        <v>45131</v>
      </c>
      <c r="E27">
        <v>366.84</v>
      </c>
    </row>
    <row r="28" spans="1:5" x14ac:dyDescent="0.35">
      <c r="A28" t="s">
        <v>130</v>
      </c>
      <c r="B28" t="s">
        <v>131</v>
      </c>
      <c r="C28" t="s">
        <v>118</v>
      </c>
      <c r="D28" s="13">
        <v>45101</v>
      </c>
      <c r="E28">
        <v>525.74</v>
      </c>
    </row>
    <row r="29" spans="1:5" x14ac:dyDescent="0.35">
      <c r="A29" t="s">
        <v>132</v>
      </c>
      <c r="B29" t="s">
        <v>133</v>
      </c>
      <c r="C29" t="s">
        <v>134</v>
      </c>
      <c r="D29" s="13">
        <v>44950</v>
      </c>
      <c r="E29">
        <v>160</v>
      </c>
    </row>
    <row r="30" spans="1:5" x14ac:dyDescent="0.35">
      <c r="A30" t="s">
        <v>135</v>
      </c>
      <c r="B30" t="s">
        <v>136</v>
      </c>
      <c r="C30" t="s">
        <v>137</v>
      </c>
      <c r="D30" s="13">
        <v>45009</v>
      </c>
      <c r="E30">
        <v>47.18</v>
      </c>
    </row>
    <row r="31" spans="1:5" x14ac:dyDescent="0.35">
      <c r="A31" t="s">
        <v>138</v>
      </c>
      <c r="B31" t="s">
        <v>139</v>
      </c>
      <c r="C31" t="s">
        <v>140</v>
      </c>
      <c r="D31" s="13">
        <v>45809</v>
      </c>
      <c r="E31">
        <v>51.2</v>
      </c>
    </row>
    <row r="32" spans="1:5" x14ac:dyDescent="0.35">
      <c r="A32" t="s">
        <v>141</v>
      </c>
      <c r="B32" t="s">
        <v>142</v>
      </c>
      <c r="C32" t="s">
        <v>143</v>
      </c>
      <c r="D32" s="13">
        <v>45231</v>
      </c>
      <c r="E32">
        <v>131.76</v>
      </c>
    </row>
    <row r="33" spans="1:5" x14ac:dyDescent="0.35">
      <c r="A33" t="s">
        <v>144</v>
      </c>
      <c r="B33" t="s">
        <v>145</v>
      </c>
      <c r="C33" t="s">
        <v>146</v>
      </c>
      <c r="D33" s="13">
        <v>44736</v>
      </c>
      <c r="E33">
        <v>83</v>
      </c>
    </row>
    <row r="34" spans="1:5" x14ac:dyDescent="0.35">
      <c r="A34" t="s">
        <v>147</v>
      </c>
      <c r="B34" t="s">
        <v>148</v>
      </c>
      <c r="C34" t="s">
        <v>149</v>
      </c>
      <c r="D34" s="13">
        <v>45901</v>
      </c>
      <c r="E34">
        <v>34.24</v>
      </c>
    </row>
    <row r="35" spans="1:5" x14ac:dyDescent="0.35">
      <c r="A35" t="s">
        <v>150</v>
      </c>
      <c r="B35" t="s">
        <v>151</v>
      </c>
      <c r="C35" t="s">
        <v>152</v>
      </c>
      <c r="D35" s="13">
        <v>45352</v>
      </c>
      <c r="E35">
        <v>126.44</v>
      </c>
    </row>
    <row r="36" spans="1:5" x14ac:dyDescent="0.35">
      <c r="A36" t="s">
        <v>153</v>
      </c>
      <c r="B36" t="s">
        <v>154</v>
      </c>
      <c r="C36" t="s">
        <v>155</v>
      </c>
      <c r="D36" s="13">
        <v>45072</v>
      </c>
      <c r="E36">
        <v>2.78</v>
      </c>
    </row>
    <row r="37" spans="1:5" x14ac:dyDescent="0.35">
      <c r="A37" t="s">
        <v>156</v>
      </c>
      <c r="B37" t="s">
        <v>157</v>
      </c>
      <c r="C37" t="s">
        <v>158</v>
      </c>
      <c r="D37" s="13">
        <v>44927</v>
      </c>
      <c r="E37">
        <v>76</v>
      </c>
    </row>
    <row r="38" spans="1:5" x14ac:dyDescent="0.35">
      <c r="A38" t="s">
        <v>159</v>
      </c>
      <c r="B38" t="s">
        <v>160</v>
      </c>
      <c r="C38" t="s">
        <v>32</v>
      </c>
      <c r="D38" s="13">
        <v>46235</v>
      </c>
      <c r="E38">
        <v>38.17</v>
      </c>
    </row>
    <row r="39" spans="1:5" x14ac:dyDescent="0.35">
      <c r="A39" t="s">
        <v>161</v>
      </c>
      <c r="B39" t="s">
        <v>162</v>
      </c>
      <c r="C39" t="s">
        <v>118</v>
      </c>
      <c r="D39" s="13">
        <v>45474</v>
      </c>
      <c r="E39">
        <v>103.1</v>
      </c>
    </row>
    <row r="40" spans="1:5" x14ac:dyDescent="0.35">
      <c r="A40" t="s">
        <v>163</v>
      </c>
      <c r="B40" t="s">
        <v>164</v>
      </c>
      <c r="C40" t="s">
        <v>152</v>
      </c>
      <c r="D40" s="13">
        <v>45070</v>
      </c>
      <c r="E40">
        <v>191.17</v>
      </c>
    </row>
    <row r="41" spans="1:5" x14ac:dyDescent="0.35">
      <c r="A41" t="s">
        <v>165</v>
      </c>
      <c r="B41" t="s">
        <v>166</v>
      </c>
      <c r="C41" t="s">
        <v>167</v>
      </c>
      <c r="D41" s="13">
        <v>45323</v>
      </c>
      <c r="E41">
        <v>166</v>
      </c>
    </row>
    <row r="42" spans="1:5" x14ac:dyDescent="0.35">
      <c r="A42" t="s">
        <v>168</v>
      </c>
      <c r="B42" t="s">
        <v>169</v>
      </c>
      <c r="C42" t="s">
        <v>170</v>
      </c>
      <c r="D42" s="13">
        <v>45536</v>
      </c>
      <c r="E42">
        <v>76.86</v>
      </c>
    </row>
    <row r="43" spans="1:5" x14ac:dyDescent="0.35">
      <c r="A43" t="s">
        <v>171</v>
      </c>
      <c r="B43" t="s">
        <v>172</v>
      </c>
      <c r="C43" t="s">
        <v>152</v>
      </c>
      <c r="D43" s="13">
        <v>45231</v>
      </c>
      <c r="E43">
        <v>57.68</v>
      </c>
    </row>
    <row r="44" spans="1:5" x14ac:dyDescent="0.35">
      <c r="A44" t="s">
        <v>173</v>
      </c>
      <c r="B44" t="s">
        <v>174</v>
      </c>
      <c r="C44" t="s">
        <v>175</v>
      </c>
      <c r="D44" s="13">
        <v>45284</v>
      </c>
      <c r="E44">
        <v>254.89</v>
      </c>
    </row>
    <row r="45" spans="1:5" x14ac:dyDescent="0.35">
      <c r="A45" t="s">
        <v>176</v>
      </c>
      <c r="B45" t="s">
        <v>177</v>
      </c>
      <c r="C45" t="s">
        <v>152</v>
      </c>
      <c r="D45" s="13">
        <v>45040</v>
      </c>
      <c r="E45">
        <v>270.55</v>
      </c>
    </row>
    <row r="46" spans="1:5" x14ac:dyDescent="0.35">
      <c r="A46" t="s">
        <v>178</v>
      </c>
      <c r="B46" t="s">
        <v>16</v>
      </c>
      <c r="C46" t="s">
        <v>179</v>
      </c>
      <c r="D46" s="13">
        <v>44736</v>
      </c>
      <c r="E46">
        <v>50</v>
      </c>
    </row>
    <row r="47" spans="1:5" x14ac:dyDescent="0.35">
      <c r="A47" t="s">
        <v>180</v>
      </c>
      <c r="B47" t="s">
        <v>181</v>
      </c>
      <c r="C47" t="s">
        <v>182</v>
      </c>
      <c r="D47" s="13">
        <v>44958</v>
      </c>
      <c r="E47">
        <v>1136.67</v>
      </c>
    </row>
    <row r="48" spans="1:5" x14ac:dyDescent="0.35">
      <c r="A48" t="s">
        <v>183</v>
      </c>
      <c r="B48" t="s">
        <v>184</v>
      </c>
      <c r="C48" t="s">
        <v>16</v>
      </c>
      <c r="D48" s="13">
        <v>46143</v>
      </c>
      <c r="E48">
        <v>167</v>
      </c>
    </row>
    <row r="49" spans="1:5" x14ac:dyDescent="0.35">
      <c r="A49" t="s">
        <v>185</v>
      </c>
      <c r="B49" t="s">
        <v>186</v>
      </c>
      <c r="C49" t="s">
        <v>187</v>
      </c>
      <c r="D49" s="13">
        <v>45200</v>
      </c>
      <c r="E49">
        <v>385</v>
      </c>
    </row>
    <row r="50" spans="1:5" x14ac:dyDescent="0.35">
      <c r="A50" t="s">
        <v>188</v>
      </c>
      <c r="B50" t="s">
        <v>189</v>
      </c>
      <c r="C50" t="s">
        <v>190</v>
      </c>
      <c r="D50" s="13">
        <v>45008</v>
      </c>
      <c r="E50">
        <v>265</v>
      </c>
    </row>
    <row r="51" spans="1:5" x14ac:dyDescent="0.35">
      <c r="A51" t="s">
        <v>191</v>
      </c>
      <c r="B51" t="s">
        <v>192</v>
      </c>
      <c r="C51" t="s">
        <v>137</v>
      </c>
      <c r="D51" s="13">
        <v>45658</v>
      </c>
      <c r="E51">
        <v>152.12</v>
      </c>
    </row>
    <row r="52" spans="1:5" x14ac:dyDescent="0.35">
      <c r="A52" t="s">
        <v>193</v>
      </c>
      <c r="B52" t="s">
        <v>69</v>
      </c>
      <c r="C52" t="s">
        <v>70</v>
      </c>
      <c r="D52" s="13">
        <v>45170</v>
      </c>
      <c r="E52">
        <v>170</v>
      </c>
    </row>
    <row r="53" spans="1:5" x14ac:dyDescent="0.35">
      <c r="A53" t="s">
        <v>194</v>
      </c>
      <c r="B53" t="s">
        <v>195</v>
      </c>
      <c r="C53" t="s">
        <v>13</v>
      </c>
      <c r="D53" s="13">
        <v>36526</v>
      </c>
      <c r="E53">
        <v>90</v>
      </c>
    </row>
    <row r="54" spans="1:5" x14ac:dyDescent="0.35">
      <c r="A54" t="s">
        <v>196</v>
      </c>
      <c r="B54" t="s">
        <v>195</v>
      </c>
      <c r="C54" t="s">
        <v>13</v>
      </c>
      <c r="D54" s="13">
        <v>8.26</v>
      </c>
      <c r="E54">
        <v>90</v>
      </c>
    </row>
    <row r="55" spans="1:5" x14ac:dyDescent="0.35">
      <c r="A55" t="s">
        <v>197</v>
      </c>
      <c r="B55" t="s">
        <v>198</v>
      </c>
      <c r="C55" t="s">
        <v>199</v>
      </c>
      <c r="D55" s="13">
        <v>45292</v>
      </c>
      <c r="E55">
        <v>90.5</v>
      </c>
    </row>
    <row r="56" spans="1:5" x14ac:dyDescent="0.35">
      <c r="A56" t="s">
        <v>200</v>
      </c>
      <c r="B56" t="s">
        <v>201</v>
      </c>
      <c r="C56" t="s">
        <v>96</v>
      </c>
      <c r="D56" s="13">
        <v>45131</v>
      </c>
      <c r="E56">
        <v>618.14</v>
      </c>
    </row>
    <row r="57" spans="1:5" x14ac:dyDescent="0.35">
      <c r="A57" t="s">
        <v>202</v>
      </c>
      <c r="B57" t="s">
        <v>203</v>
      </c>
      <c r="C57" t="s">
        <v>204</v>
      </c>
      <c r="D57" s="13">
        <v>45444</v>
      </c>
      <c r="E57">
        <v>223.32</v>
      </c>
    </row>
    <row r="58" spans="1:5" x14ac:dyDescent="0.35">
      <c r="A58" t="s">
        <v>205</v>
      </c>
      <c r="B58" t="s">
        <v>206</v>
      </c>
      <c r="C58" t="s">
        <v>92</v>
      </c>
      <c r="D58" s="13">
        <v>45009</v>
      </c>
      <c r="E58">
        <v>137.30000000000001</v>
      </c>
    </row>
    <row r="59" spans="1:5" x14ac:dyDescent="0.35">
      <c r="A59" t="s">
        <v>207</v>
      </c>
      <c r="B59" t="s">
        <v>208</v>
      </c>
      <c r="C59" t="s">
        <v>26</v>
      </c>
      <c r="D59" s="13">
        <v>45039</v>
      </c>
      <c r="E59">
        <v>144.5</v>
      </c>
    </row>
    <row r="60" spans="1:5" x14ac:dyDescent="0.35">
      <c r="A60" t="s">
        <v>209</v>
      </c>
      <c r="B60" t="s">
        <v>210</v>
      </c>
      <c r="C60" t="s">
        <v>26</v>
      </c>
      <c r="D60" s="13">
        <v>45069</v>
      </c>
      <c r="E60">
        <v>288</v>
      </c>
    </row>
    <row r="61" spans="1:5" x14ac:dyDescent="0.35">
      <c r="A61" t="s">
        <v>211</v>
      </c>
      <c r="B61" t="s">
        <v>212</v>
      </c>
      <c r="C61" t="s">
        <v>137</v>
      </c>
      <c r="D61" s="13">
        <v>45010</v>
      </c>
      <c r="E61">
        <v>5.66</v>
      </c>
    </row>
    <row r="62" spans="1:5" x14ac:dyDescent="0.35">
      <c r="A62" t="s">
        <v>213</v>
      </c>
      <c r="B62" t="s">
        <v>26</v>
      </c>
      <c r="C62" t="s">
        <v>214</v>
      </c>
      <c r="D62" s="13">
        <v>44676</v>
      </c>
      <c r="E62">
        <v>25.2</v>
      </c>
    </row>
    <row r="63" spans="1:5" x14ac:dyDescent="0.35">
      <c r="A63" t="s">
        <v>215</v>
      </c>
      <c r="B63" t="s">
        <v>216</v>
      </c>
      <c r="C63" t="s">
        <v>137</v>
      </c>
      <c r="D63" s="13">
        <v>45717</v>
      </c>
      <c r="E63">
        <v>12.9</v>
      </c>
    </row>
    <row r="64" spans="1:5" x14ac:dyDescent="0.35">
      <c r="A64" t="s">
        <v>217</v>
      </c>
      <c r="B64" t="s">
        <v>216</v>
      </c>
      <c r="C64" t="s">
        <v>137</v>
      </c>
      <c r="D64" s="13">
        <v>45717</v>
      </c>
      <c r="E64">
        <v>12.9</v>
      </c>
    </row>
    <row r="65" spans="1:5" x14ac:dyDescent="0.35">
      <c r="A65" t="s">
        <v>218</v>
      </c>
      <c r="B65" t="s">
        <v>219</v>
      </c>
      <c r="C65" t="s">
        <v>26</v>
      </c>
      <c r="D65" s="13">
        <v>45100</v>
      </c>
      <c r="E65">
        <v>69</v>
      </c>
    </row>
    <row r="66" spans="1:5" x14ac:dyDescent="0.35">
      <c r="A66" t="s">
        <v>220</v>
      </c>
      <c r="B66" t="s">
        <v>221</v>
      </c>
      <c r="C66" t="s">
        <v>26</v>
      </c>
      <c r="D66" s="13">
        <v>45078</v>
      </c>
      <c r="E66">
        <v>69</v>
      </c>
    </row>
    <row r="67" spans="1:5" x14ac:dyDescent="0.35">
      <c r="A67" t="s">
        <v>222</v>
      </c>
      <c r="B67" t="s">
        <v>123</v>
      </c>
      <c r="C67" t="s">
        <v>124</v>
      </c>
      <c r="D67" s="13">
        <v>45748</v>
      </c>
      <c r="E67">
        <v>15</v>
      </c>
    </row>
    <row r="68" spans="1:5" x14ac:dyDescent="0.35">
      <c r="A68" t="s">
        <v>223</v>
      </c>
      <c r="B68" t="s">
        <v>224</v>
      </c>
      <c r="C68" t="s">
        <v>225</v>
      </c>
      <c r="D68" s="13">
        <v>44765</v>
      </c>
      <c r="E68">
        <v>510</v>
      </c>
    </row>
    <row r="69" spans="1:5" x14ac:dyDescent="0.35">
      <c r="A69" t="s">
        <v>226</v>
      </c>
      <c r="B69" t="s">
        <v>227</v>
      </c>
      <c r="C69" t="s">
        <v>92</v>
      </c>
      <c r="D69" s="13">
        <v>45323</v>
      </c>
      <c r="E69">
        <v>156.12</v>
      </c>
    </row>
    <row r="70" spans="1:5" x14ac:dyDescent="0.35">
      <c r="A70" t="s">
        <v>228</v>
      </c>
      <c r="B70" t="s">
        <v>229</v>
      </c>
      <c r="C70" t="s">
        <v>26</v>
      </c>
      <c r="D70" s="13">
        <v>45200</v>
      </c>
      <c r="E70">
        <v>40</v>
      </c>
    </row>
    <row r="71" spans="1:5" x14ac:dyDescent="0.35">
      <c r="A71" t="s">
        <v>230</v>
      </c>
      <c r="B71" t="s">
        <v>231</v>
      </c>
      <c r="C71" t="s">
        <v>96</v>
      </c>
      <c r="D71" s="13">
        <v>45224</v>
      </c>
      <c r="E71">
        <v>8.19</v>
      </c>
    </row>
    <row r="72" spans="1:5" x14ac:dyDescent="0.35">
      <c r="A72" t="s">
        <v>232</v>
      </c>
      <c r="B72" t="s">
        <v>233</v>
      </c>
      <c r="C72" t="s">
        <v>96</v>
      </c>
      <c r="D72" s="13">
        <v>45069</v>
      </c>
      <c r="E72">
        <v>10.45</v>
      </c>
    </row>
    <row r="73" spans="1:5" x14ac:dyDescent="0.35">
      <c r="A73" t="s">
        <v>234</v>
      </c>
      <c r="B73" t="s">
        <v>26</v>
      </c>
      <c r="C73" t="s">
        <v>235</v>
      </c>
      <c r="D73" s="13">
        <v>44827</v>
      </c>
      <c r="E73">
        <v>33.799999999999997</v>
      </c>
    </row>
    <row r="74" spans="1:5" x14ac:dyDescent="0.35">
      <c r="A74" t="s">
        <v>236</v>
      </c>
      <c r="B74" t="s">
        <v>237</v>
      </c>
      <c r="C74" t="s">
        <v>238</v>
      </c>
      <c r="D74" s="13">
        <v>44674</v>
      </c>
      <c r="E74">
        <v>44.75</v>
      </c>
    </row>
    <row r="75" spans="1:5" x14ac:dyDescent="0.35">
      <c r="A75" t="s">
        <v>239</v>
      </c>
      <c r="B75" t="s">
        <v>240</v>
      </c>
      <c r="C75" t="s">
        <v>137</v>
      </c>
      <c r="D75" s="13">
        <v>45505</v>
      </c>
      <c r="E75">
        <v>1099.1099999999999</v>
      </c>
    </row>
    <row r="76" spans="1:5" x14ac:dyDescent="0.35">
      <c r="A76" t="s">
        <v>241</v>
      </c>
      <c r="B76" t="s">
        <v>242</v>
      </c>
      <c r="C76" t="s">
        <v>243</v>
      </c>
      <c r="D76" s="13">
        <v>44986</v>
      </c>
      <c r="E76">
        <v>610.6</v>
      </c>
    </row>
    <row r="77" spans="1:5" x14ac:dyDescent="0.35">
      <c r="A77" t="s">
        <v>244</v>
      </c>
      <c r="B77" t="s">
        <v>245</v>
      </c>
      <c r="C77" t="s">
        <v>199</v>
      </c>
      <c r="D77" s="13">
        <v>45352</v>
      </c>
      <c r="E77">
        <v>19.329999999999998</v>
      </c>
    </row>
    <row r="78" spans="1:5" x14ac:dyDescent="0.35">
      <c r="A78" t="s">
        <v>35</v>
      </c>
      <c r="B78" t="s">
        <v>246</v>
      </c>
      <c r="C78" t="s">
        <v>37</v>
      </c>
      <c r="D78" s="13">
        <v>45009</v>
      </c>
      <c r="E78">
        <v>20</v>
      </c>
    </row>
    <row r="79" spans="1:5" x14ac:dyDescent="0.35">
      <c r="A79" t="s">
        <v>247</v>
      </c>
      <c r="B79" t="s">
        <v>248</v>
      </c>
      <c r="C79" t="s">
        <v>249</v>
      </c>
      <c r="D79" s="13">
        <v>44674</v>
      </c>
      <c r="E79">
        <v>15.98</v>
      </c>
    </row>
    <row r="80" spans="1:5" x14ac:dyDescent="0.35">
      <c r="A80" t="s">
        <v>250</v>
      </c>
      <c r="B80" t="s">
        <v>251</v>
      </c>
      <c r="C80" t="s">
        <v>92</v>
      </c>
      <c r="D80" s="13">
        <v>45413</v>
      </c>
      <c r="E80">
        <v>24.64</v>
      </c>
    </row>
    <row r="81" spans="1:5" x14ac:dyDescent="0.35">
      <c r="A81" t="s">
        <v>252</v>
      </c>
      <c r="B81" t="s">
        <v>253</v>
      </c>
      <c r="C81" t="s">
        <v>26</v>
      </c>
      <c r="D81" s="13">
        <v>45069</v>
      </c>
      <c r="E81">
        <v>32.5</v>
      </c>
    </row>
    <row r="82" spans="1:5" x14ac:dyDescent="0.35">
      <c r="A82" t="s">
        <v>254</v>
      </c>
      <c r="B82" t="s">
        <v>255</v>
      </c>
      <c r="C82" t="s">
        <v>256</v>
      </c>
      <c r="D82" s="13">
        <v>45047</v>
      </c>
      <c r="E82">
        <v>25</v>
      </c>
    </row>
    <row r="83" spans="1:5" x14ac:dyDescent="0.35">
      <c r="A83" t="s">
        <v>257</v>
      </c>
      <c r="B83" t="s">
        <v>258</v>
      </c>
      <c r="C83" t="s">
        <v>26</v>
      </c>
      <c r="D83" s="13">
        <v>45192</v>
      </c>
      <c r="E83">
        <v>102.4</v>
      </c>
    </row>
    <row r="84" spans="1:5" x14ac:dyDescent="0.35">
      <c r="A84" t="s">
        <v>259</v>
      </c>
      <c r="B84" t="s">
        <v>260</v>
      </c>
      <c r="C84" t="s">
        <v>26</v>
      </c>
      <c r="D84" s="13">
        <v>45284</v>
      </c>
      <c r="E84">
        <v>4.83</v>
      </c>
    </row>
    <row r="85" spans="1:5" x14ac:dyDescent="0.35">
      <c r="A85" t="s">
        <v>261</v>
      </c>
      <c r="B85" t="s">
        <v>262</v>
      </c>
      <c r="C85" t="s">
        <v>263</v>
      </c>
      <c r="D85" s="13">
        <v>45292</v>
      </c>
      <c r="E85">
        <v>439</v>
      </c>
    </row>
    <row r="86" spans="1:5" x14ac:dyDescent="0.35">
      <c r="A86" t="s">
        <v>264</v>
      </c>
      <c r="B86" t="s">
        <v>265</v>
      </c>
      <c r="C86" t="s">
        <v>26</v>
      </c>
      <c r="D86" s="13">
        <v>44980</v>
      </c>
      <c r="E86">
        <v>241</v>
      </c>
    </row>
    <row r="87" spans="1:5" x14ac:dyDescent="0.35">
      <c r="A87" t="s">
        <v>266</v>
      </c>
      <c r="B87" t="s">
        <v>267</v>
      </c>
      <c r="C87" t="s">
        <v>268</v>
      </c>
      <c r="D87" s="13">
        <v>45139</v>
      </c>
      <c r="E87">
        <v>378.9</v>
      </c>
    </row>
    <row r="88" spans="1:5" x14ac:dyDescent="0.35">
      <c r="A88" t="s">
        <v>49</v>
      </c>
      <c r="B88" t="s">
        <v>269</v>
      </c>
      <c r="C88" t="s">
        <v>26</v>
      </c>
      <c r="D88" s="13">
        <v>45161</v>
      </c>
      <c r="E88">
        <v>35</v>
      </c>
    </row>
    <row r="89" spans="1:5" x14ac:dyDescent="0.35">
      <c r="A89" t="s">
        <v>270</v>
      </c>
      <c r="B89" t="s">
        <v>251</v>
      </c>
      <c r="C89" t="s">
        <v>118</v>
      </c>
      <c r="D89" s="13">
        <v>45413</v>
      </c>
      <c r="E89">
        <v>190</v>
      </c>
    </row>
    <row r="90" spans="1:5" x14ac:dyDescent="0.35">
      <c r="A90" t="s">
        <v>271</v>
      </c>
      <c r="B90" t="s">
        <v>272</v>
      </c>
      <c r="C90" t="s">
        <v>92</v>
      </c>
      <c r="D90" s="13">
        <v>45009</v>
      </c>
      <c r="E90">
        <v>14.51</v>
      </c>
    </row>
    <row r="91" spans="1:5" x14ac:dyDescent="0.35">
      <c r="A91" t="s">
        <v>273</v>
      </c>
      <c r="B91" t="s">
        <v>274</v>
      </c>
      <c r="C91" t="s">
        <v>92</v>
      </c>
      <c r="D91" s="13">
        <v>45040</v>
      </c>
      <c r="E91">
        <v>55.32</v>
      </c>
    </row>
    <row r="92" spans="1:5" x14ac:dyDescent="0.35">
      <c r="A92" t="s">
        <v>275</v>
      </c>
      <c r="B92" t="s">
        <v>274</v>
      </c>
      <c r="C92" t="s">
        <v>92</v>
      </c>
      <c r="D92" s="13">
        <v>45383</v>
      </c>
      <c r="E92">
        <v>55.32</v>
      </c>
    </row>
    <row r="93" spans="1:5" x14ac:dyDescent="0.35">
      <c r="A93" t="s">
        <v>276</v>
      </c>
      <c r="B93" t="s">
        <v>277</v>
      </c>
      <c r="C93" t="s">
        <v>278</v>
      </c>
      <c r="D93" s="13">
        <v>44981</v>
      </c>
      <c r="E93">
        <v>484</v>
      </c>
    </row>
    <row r="94" spans="1:5" x14ac:dyDescent="0.35">
      <c r="A94" t="s">
        <v>279</v>
      </c>
      <c r="B94" t="s">
        <v>25</v>
      </c>
      <c r="C94" t="s">
        <v>26</v>
      </c>
      <c r="D94" s="13">
        <v>45444</v>
      </c>
      <c r="E94">
        <v>432</v>
      </c>
    </row>
    <row r="95" spans="1:5" x14ac:dyDescent="0.35">
      <c r="A95" t="s">
        <v>280</v>
      </c>
      <c r="B95" t="s">
        <v>281</v>
      </c>
      <c r="C95" t="s">
        <v>282</v>
      </c>
      <c r="D95" s="13">
        <v>45102</v>
      </c>
      <c r="E95">
        <v>5.8</v>
      </c>
    </row>
    <row r="96" spans="1:5" x14ac:dyDescent="0.35">
      <c r="A96" t="s">
        <v>283</v>
      </c>
      <c r="B96" t="s">
        <v>284</v>
      </c>
      <c r="C96" t="s">
        <v>92</v>
      </c>
      <c r="D96" s="13">
        <v>44950</v>
      </c>
      <c r="E96">
        <v>275.39999999999998</v>
      </c>
    </row>
    <row r="97" spans="1:5" x14ac:dyDescent="0.35">
      <c r="A97" t="s">
        <v>285</v>
      </c>
      <c r="B97" t="s">
        <v>286</v>
      </c>
      <c r="C97" t="s">
        <v>287</v>
      </c>
      <c r="D97" s="13">
        <v>45352</v>
      </c>
      <c r="E97">
        <v>7.3</v>
      </c>
    </row>
    <row r="98" spans="1:5" x14ac:dyDescent="0.35">
      <c r="A98" t="s">
        <v>288</v>
      </c>
      <c r="B98" t="s">
        <v>289</v>
      </c>
      <c r="C98" t="s">
        <v>26</v>
      </c>
      <c r="D98" s="13">
        <v>45040</v>
      </c>
      <c r="E98">
        <v>176</v>
      </c>
    </row>
    <row r="99" spans="1:5" x14ac:dyDescent="0.35">
      <c r="A99" t="s">
        <v>290</v>
      </c>
      <c r="B99" t="s">
        <v>291</v>
      </c>
      <c r="C99" t="s">
        <v>26</v>
      </c>
      <c r="D99" s="13">
        <v>45101</v>
      </c>
      <c r="E99">
        <v>13</v>
      </c>
    </row>
    <row r="100" spans="1:5" x14ac:dyDescent="0.35">
      <c r="A100" t="s">
        <v>292</v>
      </c>
      <c r="B100" t="s">
        <v>293</v>
      </c>
      <c r="C100" t="s">
        <v>294</v>
      </c>
      <c r="D100" s="13">
        <v>45383</v>
      </c>
      <c r="E100">
        <v>137.30000000000001</v>
      </c>
    </row>
    <row r="101" spans="1:5" x14ac:dyDescent="0.35">
      <c r="A101" t="s">
        <v>295</v>
      </c>
      <c r="B101" t="s">
        <v>296</v>
      </c>
      <c r="C101" t="s">
        <v>297</v>
      </c>
      <c r="D101" s="13">
        <v>45566</v>
      </c>
      <c r="E101">
        <v>298.5</v>
      </c>
    </row>
    <row r="102" spans="1:5" x14ac:dyDescent="0.35">
      <c r="A102" t="s">
        <v>298</v>
      </c>
      <c r="B102" t="s">
        <v>299</v>
      </c>
      <c r="C102" t="s">
        <v>152</v>
      </c>
      <c r="D102" s="13">
        <v>45566</v>
      </c>
      <c r="E102">
        <v>20.49</v>
      </c>
    </row>
    <row r="103" spans="1:5" x14ac:dyDescent="0.35">
      <c r="A103" t="s">
        <v>300</v>
      </c>
      <c r="B103" t="s">
        <v>301</v>
      </c>
      <c r="C103" t="s">
        <v>26</v>
      </c>
      <c r="D103" s="13">
        <v>45283</v>
      </c>
      <c r="E103">
        <v>55.3</v>
      </c>
    </row>
    <row r="104" spans="1:5" x14ac:dyDescent="0.35">
      <c r="A104" t="s">
        <v>302</v>
      </c>
      <c r="B104" t="s">
        <v>303</v>
      </c>
      <c r="C104" t="s">
        <v>26</v>
      </c>
      <c r="D104" s="13">
        <v>44981</v>
      </c>
      <c r="E104">
        <v>11.5</v>
      </c>
    </row>
    <row r="105" spans="1:5" x14ac:dyDescent="0.35">
      <c r="A105" t="s">
        <v>304</v>
      </c>
      <c r="B105" t="s">
        <v>305</v>
      </c>
      <c r="C105" t="s">
        <v>306</v>
      </c>
      <c r="D105" s="13">
        <v>45070</v>
      </c>
      <c r="E105">
        <v>21.94</v>
      </c>
    </row>
    <row r="106" spans="1:5" x14ac:dyDescent="0.35">
      <c r="A106" t="s">
        <v>307</v>
      </c>
      <c r="B106" t="s">
        <v>308</v>
      </c>
      <c r="C106" t="s">
        <v>309</v>
      </c>
      <c r="D106" s="13">
        <v>44705</v>
      </c>
      <c r="E106">
        <v>39.93</v>
      </c>
    </row>
    <row r="107" spans="1:5" x14ac:dyDescent="0.35">
      <c r="A107" t="s">
        <v>310</v>
      </c>
      <c r="B107" t="s">
        <v>26</v>
      </c>
      <c r="C107" t="s">
        <v>311</v>
      </c>
      <c r="D107" s="13">
        <v>44706</v>
      </c>
      <c r="E107">
        <v>314</v>
      </c>
    </row>
    <row r="108" spans="1:5" x14ac:dyDescent="0.35">
      <c r="A108" t="s">
        <v>312</v>
      </c>
      <c r="B108" t="s">
        <v>313</v>
      </c>
      <c r="C108" t="s">
        <v>26</v>
      </c>
      <c r="D108" s="13">
        <v>44949</v>
      </c>
      <c r="E108">
        <v>45</v>
      </c>
    </row>
    <row r="109" spans="1:5" x14ac:dyDescent="0.35">
      <c r="A109" t="s">
        <v>314</v>
      </c>
      <c r="B109" t="s">
        <v>303</v>
      </c>
      <c r="C109" t="s">
        <v>26</v>
      </c>
      <c r="D109" s="13">
        <v>44981</v>
      </c>
      <c r="E109">
        <v>11.5</v>
      </c>
    </row>
    <row r="110" spans="1:5" x14ac:dyDescent="0.35">
      <c r="A110" t="s">
        <v>315</v>
      </c>
      <c r="B110" t="s">
        <v>316</v>
      </c>
      <c r="C110" t="s">
        <v>143</v>
      </c>
      <c r="D110" s="13">
        <v>45009</v>
      </c>
      <c r="E110">
        <v>87.5</v>
      </c>
    </row>
    <row r="111" spans="1:5" x14ac:dyDescent="0.35">
      <c r="A111" t="s">
        <v>317</v>
      </c>
      <c r="B111" t="s">
        <v>318</v>
      </c>
      <c r="C111" t="s">
        <v>26</v>
      </c>
      <c r="D111" s="13">
        <v>45009</v>
      </c>
      <c r="E111">
        <v>12.7</v>
      </c>
    </row>
    <row r="112" spans="1:5" x14ac:dyDescent="0.35">
      <c r="A112" t="s">
        <v>34</v>
      </c>
      <c r="B112" t="s">
        <v>319</v>
      </c>
      <c r="C112" t="s">
        <v>26</v>
      </c>
      <c r="D112" s="13">
        <v>45039</v>
      </c>
      <c r="E112">
        <v>4.0999999999999996</v>
      </c>
    </row>
    <row r="113" spans="1:5" x14ac:dyDescent="0.35">
      <c r="A113" t="s">
        <v>320</v>
      </c>
      <c r="B113" t="s">
        <v>321</v>
      </c>
      <c r="C113" t="s">
        <v>152</v>
      </c>
      <c r="D113" s="13">
        <v>45223</v>
      </c>
      <c r="E113">
        <v>20.49</v>
      </c>
    </row>
    <row r="114" spans="1:5" x14ac:dyDescent="0.35">
      <c r="A114" t="s">
        <v>322</v>
      </c>
      <c r="B114" t="s">
        <v>291</v>
      </c>
      <c r="C114" t="s">
        <v>26</v>
      </c>
      <c r="D114" s="13">
        <v>45101</v>
      </c>
      <c r="E114">
        <v>13</v>
      </c>
    </row>
    <row r="115" spans="1:5" x14ac:dyDescent="0.35">
      <c r="A115" t="s">
        <v>323</v>
      </c>
      <c r="B115" t="s">
        <v>31</v>
      </c>
      <c r="C115" t="s">
        <v>32</v>
      </c>
      <c r="D115" s="13">
        <v>44984</v>
      </c>
      <c r="E115">
        <v>211</v>
      </c>
    </row>
    <row r="116" spans="1:5" x14ac:dyDescent="0.35">
      <c r="A116" t="s">
        <v>30</v>
      </c>
      <c r="B116" t="s">
        <v>31</v>
      </c>
      <c r="C116" t="s">
        <v>32</v>
      </c>
      <c r="D116" s="13">
        <v>44984</v>
      </c>
      <c r="E116">
        <v>211</v>
      </c>
    </row>
    <row r="117" spans="1:5" x14ac:dyDescent="0.35">
      <c r="A117" t="s">
        <v>324</v>
      </c>
      <c r="B117" t="s">
        <v>31</v>
      </c>
      <c r="C117" t="s">
        <v>32</v>
      </c>
      <c r="D117" s="13">
        <v>46419</v>
      </c>
      <c r="E117">
        <v>211</v>
      </c>
    </row>
    <row r="118" spans="1:5" x14ac:dyDescent="0.35">
      <c r="A118" t="s">
        <v>325</v>
      </c>
      <c r="B118" t="s">
        <v>326</v>
      </c>
      <c r="C118" t="s">
        <v>327</v>
      </c>
      <c r="D118" s="13">
        <v>45010</v>
      </c>
      <c r="E118">
        <v>335</v>
      </c>
    </row>
    <row r="119" spans="1:5" x14ac:dyDescent="0.35">
      <c r="A119" t="s">
        <v>328</v>
      </c>
      <c r="B119" t="s">
        <v>16</v>
      </c>
      <c r="C119" t="s">
        <v>329</v>
      </c>
      <c r="D119" s="13">
        <v>44888</v>
      </c>
      <c r="E119">
        <v>30</v>
      </c>
    </row>
    <row r="120" spans="1:5" x14ac:dyDescent="0.35">
      <c r="A120" t="s">
        <v>330</v>
      </c>
      <c r="B120" t="s">
        <v>331</v>
      </c>
      <c r="C120" t="s">
        <v>294</v>
      </c>
      <c r="D120" s="13">
        <v>45383</v>
      </c>
      <c r="E120">
        <v>100.23</v>
      </c>
    </row>
    <row r="121" spans="1:5" x14ac:dyDescent="0.35">
      <c r="A121" t="s">
        <v>332</v>
      </c>
      <c r="B121" t="s">
        <v>333</v>
      </c>
      <c r="C121" t="s">
        <v>334</v>
      </c>
      <c r="D121" s="13">
        <v>45352</v>
      </c>
      <c r="E121">
        <v>39.299999999999997</v>
      </c>
    </row>
    <row r="122" spans="1:5" x14ac:dyDescent="0.35">
      <c r="A122" t="s">
        <v>335</v>
      </c>
      <c r="B122" t="s">
        <v>26</v>
      </c>
      <c r="C122" t="s">
        <v>336</v>
      </c>
      <c r="D122" s="13">
        <v>44675</v>
      </c>
      <c r="E122">
        <v>30.43</v>
      </c>
    </row>
    <row r="123" spans="1:5" x14ac:dyDescent="0.35">
      <c r="A123" t="s">
        <v>337</v>
      </c>
      <c r="B123" t="s">
        <v>338</v>
      </c>
      <c r="C123" t="s">
        <v>92</v>
      </c>
      <c r="D123" s="13">
        <v>45101</v>
      </c>
      <c r="E123">
        <v>24.64</v>
      </c>
    </row>
    <row r="124" spans="1:5" x14ac:dyDescent="0.35">
      <c r="A124" t="s">
        <v>339</v>
      </c>
      <c r="B124" t="s">
        <v>340</v>
      </c>
      <c r="C124" t="s">
        <v>341</v>
      </c>
      <c r="D124" s="13">
        <v>45323</v>
      </c>
      <c r="E124">
        <v>148.5</v>
      </c>
    </row>
    <row r="125" spans="1:5" x14ac:dyDescent="0.35">
      <c r="A125" t="s">
        <v>342</v>
      </c>
      <c r="B125" t="s">
        <v>16</v>
      </c>
      <c r="C125" t="s">
        <v>343</v>
      </c>
      <c r="D125" s="13">
        <v>44585</v>
      </c>
      <c r="E125">
        <v>66</v>
      </c>
    </row>
    <row r="126" spans="1:5" x14ac:dyDescent="0.35">
      <c r="A126" t="s">
        <v>344</v>
      </c>
      <c r="B126" t="s">
        <v>345</v>
      </c>
      <c r="C126" t="s">
        <v>48</v>
      </c>
      <c r="D126" s="13">
        <v>45231</v>
      </c>
      <c r="E126">
        <v>80</v>
      </c>
    </row>
    <row r="127" spans="1:5" x14ac:dyDescent="0.35">
      <c r="A127" t="s">
        <v>346</v>
      </c>
      <c r="B127" t="s">
        <v>347</v>
      </c>
      <c r="C127" t="s">
        <v>16</v>
      </c>
      <c r="D127" s="13">
        <v>45285</v>
      </c>
      <c r="E127">
        <v>520</v>
      </c>
    </row>
    <row r="128" spans="1:5" x14ac:dyDescent="0.35">
      <c r="A128" t="s">
        <v>348</v>
      </c>
      <c r="B128" t="s">
        <v>349</v>
      </c>
      <c r="C128" t="s">
        <v>350</v>
      </c>
      <c r="D128" s="13">
        <v>45162</v>
      </c>
      <c r="E128">
        <v>52.9</v>
      </c>
    </row>
    <row r="129" spans="1:5" x14ac:dyDescent="0.35">
      <c r="A129" t="s">
        <v>351</v>
      </c>
      <c r="B129" t="s">
        <v>347</v>
      </c>
      <c r="C129" t="s">
        <v>16</v>
      </c>
      <c r="D129" s="13">
        <v>45992</v>
      </c>
      <c r="E129">
        <v>520</v>
      </c>
    </row>
    <row r="130" spans="1:5" x14ac:dyDescent="0.35">
      <c r="A130" t="s">
        <v>352</v>
      </c>
      <c r="B130" t="s">
        <v>353</v>
      </c>
      <c r="C130" t="s">
        <v>354</v>
      </c>
      <c r="D130" s="13">
        <v>45383</v>
      </c>
      <c r="E130">
        <v>163.9</v>
      </c>
    </row>
    <row r="131" spans="1:5" x14ac:dyDescent="0.35">
      <c r="A131" t="s">
        <v>355</v>
      </c>
      <c r="B131" t="s">
        <v>356</v>
      </c>
      <c r="C131" t="s">
        <v>149</v>
      </c>
      <c r="D131" s="13">
        <v>45627</v>
      </c>
      <c r="E131">
        <v>37.92</v>
      </c>
    </row>
    <row r="132" spans="1:5" x14ac:dyDescent="0.35">
      <c r="A132" t="s">
        <v>357</v>
      </c>
      <c r="B132" t="s">
        <v>358</v>
      </c>
      <c r="C132" t="s">
        <v>359</v>
      </c>
      <c r="D132" s="13">
        <v>45070</v>
      </c>
      <c r="E132">
        <v>160.61000000000001</v>
      </c>
    </row>
    <row r="133" spans="1:5" x14ac:dyDescent="0.35">
      <c r="A133" t="s">
        <v>360</v>
      </c>
      <c r="B133" t="s">
        <v>32</v>
      </c>
      <c r="C133" t="s">
        <v>361</v>
      </c>
      <c r="D133" s="13">
        <v>44766</v>
      </c>
      <c r="E133">
        <v>30.7</v>
      </c>
    </row>
    <row r="134" spans="1:5" x14ac:dyDescent="0.35">
      <c r="A134" t="s">
        <v>362</v>
      </c>
      <c r="B134" t="s">
        <v>363</v>
      </c>
      <c r="C134" t="s">
        <v>149</v>
      </c>
      <c r="D134" s="13">
        <v>46266</v>
      </c>
      <c r="E134">
        <v>34.83</v>
      </c>
    </row>
    <row r="135" spans="1:5" x14ac:dyDescent="0.35">
      <c r="A135" t="s">
        <v>364</v>
      </c>
      <c r="B135" t="s">
        <v>365</v>
      </c>
      <c r="C135" t="s">
        <v>366</v>
      </c>
      <c r="D135" s="13">
        <v>45170</v>
      </c>
      <c r="E135">
        <v>34.700000000000003</v>
      </c>
    </row>
    <row r="136" spans="1:5" x14ac:dyDescent="0.35">
      <c r="A136" t="s">
        <v>367</v>
      </c>
      <c r="B136" t="s">
        <v>169</v>
      </c>
      <c r="C136" t="s">
        <v>368</v>
      </c>
      <c r="D136" s="13">
        <v>45078</v>
      </c>
      <c r="E136">
        <v>199</v>
      </c>
    </row>
    <row r="137" spans="1:5" x14ac:dyDescent="0.35">
      <c r="A137" t="s">
        <v>369</v>
      </c>
      <c r="B137" t="s">
        <v>370</v>
      </c>
      <c r="C137" t="s">
        <v>371</v>
      </c>
      <c r="D137" s="13">
        <v>45658</v>
      </c>
      <c r="E137">
        <v>15.29</v>
      </c>
    </row>
    <row r="138" spans="1:5" x14ac:dyDescent="0.35">
      <c r="A138" t="s">
        <v>372</v>
      </c>
      <c r="B138" t="s">
        <v>373</v>
      </c>
      <c r="C138" t="s">
        <v>92</v>
      </c>
      <c r="D138" s="13">
        <v>45689</v>
      </c>
      <c r="E138">
        <v>155</v>
      </c>
    </row>
    <row r="139" spans="1:5" x14ac:dyDescent="0.35">
      <c r="A139" t="s">
        <v>24</v>
      </c>
      <c r="B139" t="s">
        <v>25</v>
      </c>
      <c r="C139" t="s">
        <v>26</v>
      </c>
      <c r="D139" s="13">
        <v>45101</v>
      </c>
      <c r="E139">
        <v>432</v>
      </c>
    </row>
    <row r="140" spans="1:5" x14ac:dyDescent="0.35">
      <c r="A140" t="s">
        <v>374</v>
      </c>
      <c r="B140" t="s">
        <v>375</v>
      </c>
      <c r="C140" t="s">
        <v>376</v>
      </c>
      <c r="D140" s="13">
        <v>45011</v>
      </c>
      <c r="E140">
        <v>88</v>
      </c>
    </row>
    <row r="141" spans="1:5" x14ac:dyDescent="0.35">
      <c r="A141" t="s">
        <v>377</v>
      </c>
      <c r="B141" t="s">
        <v>126</v>
      </c>
      <c r="C141" t="s">
        <v>127</v>
      </c>
      <c r="D141" s="13">
        <v>45383</v>
      </c>
      <c r="E141">
        <v>179.5</v>
      </c>
    </row>
    <row r="142" spans="1:5" x14ac:dyDescent="0.35">
      <c r="A142" t="s">
        <v>378</v>
      </c>
      <c r="B142" t="s">
        <v>25</v>
      </c>
      <c r="C142" t="s">
        <v>26</v>
      </c>
      <c r="D142" s="13">
        <v>45444</v>
      </c>
      <c r="E142">
        <v>432</v>
      </c>
    </row>
    <row r="143" spans="1:5" x14ac:dyDescent="0.35">
      <c r="A143" t="s">
        <v>379</v>
      </c>
      <c r="B143" t="s">
        <v>380</v>
      </c>
      <c r="C143" t="s">
        <v>381</v>
      </c>
      <c r="D143" s="13">
        <v>45444</v>
      </c>
      <c r="E143">
        <v>67.959999999999994</v>
      </c>
    </row>
    <row r="144" spans="1:5" x14ac:dyDescent="0.35">
      <c r="A144" t="s">
        <v>382</v>
      </c>
      <c r="B144" t="s">
        <v>383</v>
      </c>
      <c r="C144" t="s">
        <v>282</v>
      </c>
      <c r="D144" s="13">
        <v>45231</v>
      </c>
      <c r="E144">
        <v>125.5</v>
      </c>
    </row>
    <row r="145" spans="1:5" x14ac:dyDescent="0.35">
      <c r="A145" t="s">
        <v>384</v>
      </c>
      <c r="B145" t="s">
        <v>385</v>
      </c>
      <c r="C145" t="s">
        <v>386</v>
      </c>
      <c r="D145" s="13">
        <v>44927</v>
      </c>
      <c r="E145">
        <v>449</v>
      </c>
    </row>
    <row r="146" spans="1:5" x14ac:dyDescent="0.35">
      <c r="A146" t="s">
        <v>387</v>
      </c>
      <c r="B146" t="s">
        <v>296</v>
      </c>
      <c r="C146" t="s">
        <v>297</v>
      </c>
      <c r="D146" s="13">
        <v>45223</v>
      </c>
      <c r="E146">
        <v>298.5</v>
      </c>
    </row>
    <row r="147" spans="1:5" x14ac:dyDescent="0.35">
      <c r="A147" t="s">
        <v>388</v>
      </c>
      <c r="B147" t="s">
        <v>389</v>
      </c>
      <c r="C147" t="s">
        <v>341</v>
      </c>
      <c r="D147" s="13">
        <v>45809</v>
      </c>
      <c r="E147">
        <v>353.25</v>
      </c>
    </row>
    <row r="148" spans="1:5" x14ac:dyDescent="0.35">
      <c r="A148" t="s">
        <v>390</v>
      </c>
      <c r="B148" t="s">
        <v>391</v>
      </c>
      <c r="C148" t="s">
        <v>124</v>
      </c>
      <c r="D148" s="13">
        <v>45444</v>
      </c>
      <c r="E148">
        <v>455</v>
      </c>
    </row>
    <row r="149" spans="1:5" x14ac:dyDescent="0.35">
      <c r="A149" t="s">
        <v>392</v>
      </c>
      <c r="B149" t="s">
        <v>391</v>
      </c>
      <c r="C149" t="s">
        <v>124</v>
      </c>
      <c r="D149" s="13">
        <v>45101</v>
      </c>
      <c r="E149">
        <v>455</v>
      </c>
    </row>
    <row r="150" spans="1:5" x14ac:dyDescent="0.35">
      <c r="A150" t="s">
        <v>393</v>
      </c>
      <c r="B150" t="s">
        <v>394</v>
      </c>
      <c r="C150" t="s">
        <v>32</v>
      </c>
      <c r="D150" s="13">
        <v>46266</v>
      </c>
      <c r="E150">
        <v>56.44</v>
      </c>
    </row>
    <row r="151" spans="1:5" x14ac:dyDescent="0.35">
      <c r="A151" t="s">
        <v>395</v>
      </c>
      <c r="B151" t="s">
        <v>396</v>
      </c>
      <c r="C151" t="s">
        <v>354</v>
      </c>
      <c r="D151" s="13">
        <v>45017</v>
      </c>
      <c r="E151">
        <v>207</v>
      </c>
    </row>
    <row r="152" spans="1:5" x14ac:dyDescent="0.35">
      <c r="A152" t="s">
        <v>397</v>
      </c>
      <c r="B152" t="s">
        <v>398</v>
      </c>
      <c r="C152" t="s">
        <v>16</v>
      </c>
      <c r="D152" s="13">
        <v>44953</v>
      </c>
      <c r="E152">
        <v>72</v>
      </c>
    </row>
    <row r="153" spans="1:5" x14ac:dyDescent="0.35">
      <c r="A153" t="s">
        <v>399</v>
      </c>
      <c r="B153" t="s">
        <v>400</v>
      </c>
      <c r="C153" t="s">
        <v>401</v>
      </c>
      <c r="D153" s="13">
        <v>45283</v>
      </c>
      <c r="E153">
        <v>1450</v>
      </c>
    </row>
    <row r="154" spans="1:5" x14ac:dyDescent="0.35">
      <c r="A154" t="s">
        <v>402</v>
      </c>
      <c r="B154" t="s">
        <v>403</v>
      </c>
      <c r="C154" t="s">
        <v>404</v>
      </c>
      <c r="D154" s="13">
        <v>45413</v>
      </c>
      <c r="E154">
        <v>122.4</v>
      </c>
    </row>
    <row r="155" spans="1:5" x14ac:dyDescent="0.35">
      <c r="A155" t="s">
        <v>405</v>
      </c>
      <c r="B155" t="s">
        <v>32</v>
      </c>
      <c r="C155" t="s">
        <v>406</v>
      </c>
      <c r="D155" s="13">
        <v>44677</v>
      </c>
      <c r="E155">
        <v>154</v>
      </c>
    </row>
    <row r="156" spans="1:5" x14ac:dyDescent="0.35">
      <c r="A156" t="s">
        <v>407</v>
      </c>
      <c r="B156" t="s">
        <v>321</v>
      </c>
      <c r="C156" t="s">
        <v>152</v>
      </c>
      <c r="D156" s="13">
        <v>45566</v>
      </c>
      <c r="E156">
        <v>20.49</v>
      </c>
    </row>
    <row r="157" spans="1:5" x14ac:dyDescent="0.35">
      <c r="A157" t="s">
        <v>408</v>
      </c>
      <c r="B157" t="s">
        <v>409</v>
      </c>
      <c r="C157" t="s">
        <v>410</v>
      </c>
      <c r="D157" s="13">
        <v>45839</v>
      </c>
      <c r="E157">
        <v>251</v>
      </c>
    </row>
    <row r="158" spans="1:5" x14ac:dyDescent="0.35">
      <c r="A158" t="s">
        <v>411</v>
      </c>
      <c r="B158" t="s">
        <v>412</v>
      </c>
      <c r="C158" t="s">
        <v>92</v>
      </c>
      <c r="D158" s="13">
        <v>45139</v>
      </c>
      <c r="E158">
        <v>176</v>
      </c>
    </row>
    <row r="159" spans="1:5" x14ac:dyDescent="0.35">
      <c r="A159" t="s">
        <v>413</v>
      </c>
      <c r="B159" t="s">
        <v>414</v>
      </c>
      <c r="C159" t="s">
        <v>152</v>
      </c>
      <c r="D159" s="13">
        <v>45040</v>
      </c>
      <c r="E159">
        <v>126.44</v>
      </c>
    </row>
    <row r="160" spans="1:5" x14ac:dyDescent="0.35">
      <c r="A160" t="s">
        <v>415</v>
      </c>
      <c r="B160" t="s">
        <v>416</v>
      </c>
      <c r="C160" t="s">
        <v>29</v>
      </c>
      <c r="D160" s="13">
        <v>46600</v>
      </c>
      <c r="E160">
        <v>10</v>
      </c>
    </row>
    <row r="161" spans="1:5" x14ac:dyDescent="0.35">
      <c r="A161" t="s">
        <v>417</v>
      </c>
      <c r="B161" t="s">
        <v>418</v>
      </c>
      <c r="C161" t="s">
        <v>29</v>
      </c>
      <c r="D161" s="13">
        <v>46508</v>
      </c>
      <c r="E161">
        <v>7</v>
      </c>
    </row>
    <row r="162" spans="1:5" x14ac:dyDescent="0.35">
      <c r="A162" t="s">
        <v>419</v>
      </c>
      <c r="B162" t="s">
        <v>32</v>
      </c>
      <c r="C162" t="s">
        <v>420</v>
      </c>
      <c r="D162" s="13">
        <v>44799</v>
      </c>
    </row>
    <row r="163" spans="1:5" x14ac:dyDescent="0.35">
      <c r="A163" t="s">
        <v>421</v>
      </c>
      <c r="B163" t="s">
        <v>78</v>
      </c>
      <c r="C163" t="s">
        <v>29</v>
      </c>
      <c r="D163" s="13">
        <v>46478</v>
      </c>
      <c r="E163">
        <v>8</v>
      </c>
    </row>
    <row r="164" spans="1:5" x14ac:dyDescent="0.35">
      <c r="A164" t="s">
        <v>422</v>
      </c>
      <c r="C164" t="s">
        <v>423</v>
      </c>
      <c r="D164" s="13">
        <v>44981</v>
      </c>
      <c r="E164">
        <v>159</v>
      </c>
    </row>
    <row r="165" spans="1:5" x14ac:dyDescent="0.35">
      <c r="A165" t="s">
        <v>424</v>
      </c>
      <c r="B165" t="s">
        <v>380</v>
      </c>
      <c r="C165" t="s">
        <v>425</v>
      </c>
      <c r="D165" s="13">
        <v>45101</v>
      </c>
      <c r="E165">
        <v>67.959999999999994</v>
      </c>
    </row>
    <row r="166" spans="1:5" x14ac:dyDescent="0.35">
      <c r="A166" t="s">
        <v>426</v>
      </c>
      <c r="B166" t="s">
        <v>427</v>
      </c>
      <c r="C166" t="s">
        <v>121</v>
      </c>
      <c r="D166" s="13">
        <v>45070</v>
      </c>
      <c r="E166">
        <v>150</v>
      </c>
    </row>
    <row r="167" spans="1:5" x14ac:dyDescent="0.35">
      <c r="A167" t="s">
        <v>428</v>
      </c>
      <c r="B167" t="s">
        <v>189</v>
      </c>
      <c r="C167" t="s">
        <v>190</v>
      </c>
      <c r="D167" s="13">
        <v>45008</v>
      </c>
      <c r="E167">
        <v>265</v>
      </c>
    </row>
    <row r="168" spans="1:5" x14ac:dyDescent="0.35">
      <c r="A168" t="s">
        <v>429</v>
      </c>
      <c r="B168" t="s">
        <v>430</v>
      </c>
      <c r="C168" t="s">
        <v>423</v>
      </c>
      <c r="D168" s="13">
        <v>45323</v>
      </c>
      <c r="E168">
        <v>21.3</v>
      </c>
    </row>
    <row r="169" spans="1:5" x14ac:dyDescent="0.35">
      <c r="A169" t="s">
        <v>431</v>
      </c>
      <c r="B169" t="s">
        <v>432</v>
      </c>
      <c r="C169" t="s">
        <v>118</v>
      </c>
      <c r="D169" s="13">
        <v>45039</v>
      </c>
      <c r="E169">
        <v>266.8</v>
      </c>
    </row>
    <row r="170" spans="1:5" x14ac:dyDescent="0.35">
      <c r="A170" t="s">
        <v>433</v>
      </c>
      <c r="B170" t="s">
        <v>434</v>
      </c>
      <c r="C170" t="s">
        <v>371</v>
      </c>
      <c r="D170" s="13">
        <v>45254</v>
      </c>
      <c r="E170">
        <v>20.61</v>
      </c>
    </row>
    <row r="171" spans="1:5" x14ac:dyDescent="0.35">
      <c r="A171" t="s">
        <v>435</v>
      </c>
      <c r="B171" t="s">
        <v>389</v>
      </c>
      <c r="C171" t="s">
        <v>341</v>
      </c>
      <c r="D171" s="13">
        <v>45102</v>
      </c>
      <c r="E171">
        <v>353.25</v>
      </c>
    </row>
    <row r="172" spans="1:5" x14ac:dyDescent="0.35">
      <c r="A172" t="s">
        <v>436</v>
      </c>
      <c r="B172" t="s">
        <v>331</v>
      </c>
      <c r="C172" t="s">
        <v>124</v>
      </c>
      <c r="D172" s="13">
        <v>45101</v>
      </c>
      <c r="E172">
        <v>455</v>
      </c>
    </row>
    <row r="173" spans="1:5" x14ac:dyDescent="0.35">
      <c r="A173" t="s">
        <v>437</v>
      </c>
      <c r="B173" t="s">
        <v>438</v>
      </c>
      <c r="C173" t="s">
        <v>354</v>
      </c>
      <c r="D173" s="13">
        <v>45352</v>
      </c>
      <c r="E173">
        <v>122.7</v>
      </c>
    </row>
    <row r="174" spans="1:5" x14ac:dyDescent="0.35">
      <c r="A174" t="s">
        <v>439</v>
      </c>
      <c r="B174" t="s">
        <v>440</v>
      </c>
      <c r="C174" t="s">
        <v>441</v>
      </c>
      <c r="D174" s="13">
        <v>45194</v>
      </c>
      <c r="E174">
        <v>237</v>
      </c>
    </row>
    <row r="175" spans="1:5" x14ac:dyDescent="0.35">
      <c r="A175" t="s">
        <v>442</v>
      </c>
      <c r="B175" t="s">
        <v>272</v>
      </c>
      <c r="C175" t="s">
        <v>92</v>
      </c>
      <c r="D175" s="13">
        <v>45009</v>
      </c>
      <c r="E175">
        <v>14.51</v>
      </c>
    </row>
    <row r="176" spans="1:5" x14ac:dyDescent="0.35">
      <c r="A176" t="s">
        <v>443</v>
      </c>
      <c r="B176" t="s">
        <v>92</v>
      </c>
      <c r="C176" t="s">
        <v>444</v>
      </c>
      <c r="D176" s="13">
        <v>44919</v>
      </c>
      <c r="E176">
        <v>18.8</v>
      </c>
    </row>
    <row r="177" spans="1:5" x14ac:dyDescent="0.35">
      <c r="A177" t="s">
        <v>445</v>
      </c>
      <c r="B177" t="s">
        <v>446</v>
      </c>
      <c r="C177" t="s">
        <v>92</v>
      </c>
      <c r="D177" s="13">
        <v>45352</v>
      </c>
      <c r="E177">
        <v>119.31</v>
      </c>
    </row>
    <row r="178" spans="1:5" x14ac:dyDescent="0.35">
      <c r="A178" t="s">
        <v>447</v>
      </c>
      <c r="B178" t="s">
        <v>403</v>
      </c>
      <c r="C178" t="s">
        <v>354</v>
      </c>
      <c r="D178" s="13">
        <v>45323</v>
      </c>
      <c r="E178">
        <v>61.25</v>
      </c>
    </row>
    <row r="179" spans="1:5" x14ac:dyDescent="0.35">
      <c r="A179" t="s">
        <v>448</v>
      </c>
      <c r="B179" t="s">
        <v>449</v>
      </c>
      <c r="C179" t="s">
        <v>354</v>
      </c>
      <c r="D179" s="13">
        <v>45352</v>
      </c>
      <c r="E179">
        <v>122.7</v>
      </c>
    </row>
    <row r="180" spans="1:5" x14ac:dyDescent="0.35">
      <c r="A180" t="s">
        <v>450</v>
      </c>
      <c r="B180" t="s">
        <v>451</v>
      </c>
      <c r="C180" t="s">
        <v>354</v>
      </c>
      <c r="D180" s="13">
        <v>45383</v>
      </c>
      <c r="E180">
        <v>163.9</v>
      </c>
    </row>
    <row r="181" spans="1:5" x14ac:dyDescent="0.35">
      <c r="A181" t="s">
        <v>452</v>
      </c>
      <c r="B181" t="s">
        <v>453</v>
      </c>
      <c r="C181" t="s">
        <v>152</v>
      </c>
      <c r="D181" s="13">
        <v>45069</v>
      </c>
      <c r="E181">
        <v>132.03</v>
      </c>
    </row>
    <row r="182" spans="1:5" x14ac:dyDescent="0.35">
      <c r="A182" t="s">
        <v>454</v>
      </c>
      <c r="B182" t="s">
        <v>455</v>
      </c>
      <c r="C182" t="s">
        <v>96</v>
      </c>
      <c r="D182" s="13">
        <v>45078</v>
      </c>
      <c r="E182">
        <v>137.6</v>
      </c>
    </row>
    <row r="183" spans="1:5" x14ac:dyDescent="0.35">
      <c r="A183" t="s">
        <v>456</v>
      </c>
      <c r="B183" t="s">
        <v>457</v>
      </c>
      <c r="C183" t="s">
        <v>152</v>
      </c>
      <c r="D183" s="13">
        <v>45809</v>
      </c>
      <c r="E183">
        <v>694.19</v>
      </c>
    </row>
    <row r="184" spans="1:5" x14ac:dyDescent="0.35">
      <c r="A184" t="s">
        <v>458</v>
      </c>
      <c r="B184" t="s">
        <v>459</v>
      </c>
      <c r="C184" t="s">
        <v>441</v>
      </c>
      <c r="D184" s="13">
        <v>45170</v>
      </c>
      <c r="E184">
        <v>216</v>
      </c>
    </row>
    <row r="185" spans="1:5" x14ac:dyDescent="0.35">
      <c r="A185" t="s">
        <v>460</v>
      </c>
      <c r="B185" t="s">
        <v>334</v>
      </c>
      <c r="C185" t="s">
        <v>16</v>
      </c>
      <c r="D185" s="13">
        <v>45839</v>
      </c>
      <c r="E185">
        <v>289</v>
      </c>
    </row>
    <row r="186" spans="1:5" x14ac:dyDescent="0.35">
      <c r="A186" t="s">
        <v>461</v>
      </c>
      <c r="B186" t="s">
        <v>462</v>
      </c>
      <c r="C186" t="s">
        <v>124</v>
      </c>
      <c r="D186" s="13">
        <v>45383</v>
      </c>
      <c r="E186">
        <v>523</v>
      </c>
    </row>
    <row r="187" spans="1:5" x14ac:dyDescent="0.35">
      <c r="A187" t="s">
        <v>463</v>
      </c>
      <c r="B187" t="s">
        <v>464</v>
      </c>
      <c r="C187" t="s">
        <v>465</v>
      </c>
      <c r="D187" s="13">
        <v>45139</v>
      </c>
      <c r="E187">
        <v>302</v>
      </c>
    </row>
    <row r="188" spans="1:5" x14ac:dyDescent="0.35">
      <c r="A188" t="s">
        <v>466</v>
      </c>
      <c r="B188" t="s">
        <v>467</v>
      </c>
      <c r="C188" t="s">
        <v>468</v>
      </c>
      <c r="D188" s="13">
        <v>45413</v>
      </c>
      <c r="E188">
        <v>68.2</v>
      </c>
    </row>
    <row r="189" spans="1:5" x14ac:dyDescent="0.35">
      <c r="A189" t="s">
        <v>469</v>
      </c>
      <c r="B189" t="s">
        <v>470</v>
      </c>
      <c r="C189" t="s">
        <v>152</v>
      </c>
      <c r="D189" s="13">
        <v>45071</v>
      </c>
      <c r="E189">
        <v>295.77</v>
      </c>
    </row>
    <row r="190" spans="1:5" x14ac:dyDescent="0.35">
      <c r="A190" t="s">
        <v>471</v>
      </c>
      <c r="B190" t="s">
        <v>472</v>
      </c>
      <c r="C190" t="s">
        <v>152</v>
      </c>
      <c r="D190" s="13">
        <v>45597</v>
      </c>
      <c r="E190">
        <v>160.56</v>
      </c>
    </row>
    <row r="191" spans="1:5" x14ac:dyDescent="0.35">
      <c r="A191" t="s">
        <v>473</v>
      </c>
      <c r="B191" t="s">
        <v>474</v>
      </c>
      <c r="C191" t="s">
        <v>423</v>
      </c>
      <c r="D191" s="13">
        <v>45200</v>
      </c>
      <c r="E191">
        <v>139.5</v>
      </c>
    </row>
    <row r="192" spans="1:5" x14ac:dyDescent="0.35">
      <c r="A192" t="s">
        <v>475</v>
      </c>
      <c r="B192" t="s">
        <v>333</v>
      </c>
      <c r="C192" t="s">
        <v>334</v>
      </c>
      <c r="D192" s="13">
        <v>45009</v>
      </c>
      <c r="E192">
        <v>39.299999999999997</v>
      </c>
    </row>
    <row r="193" spans="1:5" x14ac:dyDescent="0.35">
      <c r="A193" t="s">
        <v>476</v>
      </c>
      <c r="B193" t="s">
        <v>477</v>
      </c>
      <c r="C193" t="s">
        <v>127</v>
      </c>
      <c r="D193" s="13">
        <v>45323</v>
      </c>
      <c r="E193">
        <v>410</v>
      </c>
    </row>
    <row r="194" spans="1:5" x14ac:dyDescent="0.35">
      <c r="A194" t="s">
        <v>478</v>
      </c>
      <c r="B194" t="s">
        <v>479</v>
      </c>
      <c r="C194" t="s">
        <v>480</v>
      </c>
      <c r="D194" s="13">
        <v>45194</v>
      </c>
      <c r="E194">
        <v>9.5500000000000007</v>
      </c>
    </row>
    <row r="195" spans="1:5" x14ac:dyDescent="0.35">
      <c r="D195" s="13"/>
    </row>
    <row r="196" spans="1:5" x14ac:dyDescent="0.35">
      <c r="D196" s="13"/>
    </row>
    <row r="197" spans="1:5" x14ac:dyDescent="0.35">
      <c r="D197" s="13"/>
    </row>
    <row r="198" spans="1:5" x14ac:dyDescent="0.35">
      <c r="D198" s="13"/>
    </row>
    <row r="199" spans="1:5" x14ac:dyDescent="0.35">
      <c r="D199" s="13"/>
    </row>
    <row r="200" spans="1:5" x14ac:dyDescent="0.35">
      <c r="D200" s="13"/>
    </row>
    <row r="201" spans="1:5" x14ac:dyDescent="0.35">
      <c r="D201" s="13"/>
    </row>
    <row r="202" spans="1:5" x14ac:dyDescent="0.35">
      <c r="D202" s="13"/>
    </row>
    <row r="203" spans="1:5" x14ac:dyDescent="0.35">
      <c r="D203" s="13"/>
    </row>
    <row r="204" spans="1:5" x14ac:dyDescent="0.35">
      <c r="D204" s="13"/>
    </row>
    <row r="205" spans="1:5" x14ac:dyDescent="0.35">
      <c r="D205" s="13"/>
    </row>
    <row r="206" spans="1:5" x14ac:dyDescent="0.35">
      <c r="D206" s="13"/>
    </row>
    <row r="207" spans="1:5" x14ac:dyDescent="0.35">
      <c r="D207" s="13"/>
    </row>
    <row r="208" spans="1:5" x14ac:dyDescent="0.35">
      <c r="D208" s="13"/>
    </row>
    <row r="209" spans="4:4" x14ac:dyDescent="0.35">
      <c r="D209" s="13"/>
    </row>
    <row r="210" spans="4:4" x14ac:dyDescent="0.35">
      <c r="D210" s="13"/>
    </row>
    <row r="211" spans="4:4" x14ac:dyDescent="0.35">
      <c r="D211" s="13"/>
    </row>
    <row r="212" spans="4:4" x14ac:dyDescent="0.35">
      <c r="D212" s="13"/>
    </row>
    <row r="213" spans="4:4" x14ac:dyDescent="0.35">
      <c r="D213" s="13"/>
    </row>
    <row r="214" spans="4:4" x14ac:dyDescent="0.35">
      <c r="D214" s="13"/>
    </row>
    <row r="215" spans="4:4" x14ac:dyDescent="0.35">
      <c r="D215" s="13"/>
    </row>
    <row r="216" spans="4:4" x14ac:dyDescent="0.35">
      <c r="D216" s="13"/>
    </row>
    <row r="217" spans="4:4" x14ac:dyDescent="0.35">
      <c r="D217" s="13"/>
    </row>
    <row r="218" spans="4:4" x14ac:dyDescent="0.35">
      <c r="D218" s="13"/>
    </row>
    <row r="219" spans="4:4" x14ac:dyDescent="0.35">
      <c r="D219" s="13"/>
    </row>
    <row r="220" spans="4:4" x14ac:dyDescent="0.35">
      <c r="D220" s="13"/>
    </row>
    <row r="221" spans="4:4" x14ac:dyDescent="0.35">
      <c r="D221" s="13"/>
    </row>
    <row r="222" spans="4:4" x14ac:dyDescent="0.35">
      <c r="D222" s="13"/>
    </row>
    <row r="223" spans="4:4" x14ac:dyDescent="0.35">
      <c r="D223" s="13"/>
    </row>
    <row r="224" spans="4:4" x14ac:dyDescent="0.35">
      <c r="D224" s="13"/>
    </row>
    <row r="225" spans="4:4" x14ac:dyDescent="0.35">
      <c r="D225" s="13"/>
    </row>
    <row r="226" spans="4:4" x14ac:dyDescent="0.35">
      <c r="D226" s="13"/>
    </row>
    <row r="227" spans="4:4" x14ac:dyDescent="0.35">
      <c r="D227" s="13"/>
    </row>
    <row r="228" spans="4:4" x14ac:dyDescent="0.35">
      <c r="D228" s="13"/>
    </row>
    <row r="229" spans="4:4" x14ac:dyDescent="0.35">
      <c r="D229" s="13"/>
    </row>
    <row r="230" spans="4:4" x14ac:dyDescent="0.35">
      <c r="D230" s="13"/>
    </row>
    <row r="231" spans="4:4" x14ac:dyDescent="0.35">
      <c r="D231" s="13"/>
    </row>
    <row r="232" spans="4:4" x14ac:dyDescent="0.35">
      <c r="D232" s="13"/>
    </row>
    <row r="233" spans="4:4" x14ac:dyDescent="0.35">
      <c r="D233" s="13"/>
    </row>
    <row r="234" spans="4:4" x14ac:dyDescent="0.35">
      <c r="D234" s="13"/>
    </row>
    <row r="235" spans="4:4" x14ac:dyDescent="0.35">
      <c r="D235" s="13"/>
    </row>
    <row r="236" spans="4:4" x14ac:dyDescent="0.35">
      <c r="D236" s="13"/>
    </row>
    <row r="237" spans="4:4" x14ac:dyDescent="0.35">
      <c r="D237" s="13"/>
    </row>
    <row r="238" spans="4:4" x14ac:dyDescent="0.35">
      <c r="D238" s="13"/>
    </row>
    <row r="239" spans="4:4" x14ac:dyDescent="0.35">
      <c r="D239" s="13"/>
    </row>
    <row r="240" spans="4:4" x14ac:dyDescent="0.35">
      <c r="D240" s="13"/>
    </row>
    <row r="241" spans="4:4" x14ac:dyDescent="0.35">
      <c r="D241" s="13"/>
    </row>
    <row r="242" spans="4:4" x14ac:dyDescent="0.35">
      <c r="D242" s="13"/>
    </row>
    <row r="243" spans="4:4" x14ac:dyDescent="0.35">
      <c r="D243" s="13"/>
    </row>
    <row r="244" spans="4:4" x14ac:dyDescent="0.35">
      <c r="D244" s="13"/>
    </row>
    <row r="245" spans="4:4" x14ac:dyDescent="0.35">
      <c r="D245" s="13"/>
    </row>
    <row r="246" spans="4:4" x14ac:dyDescent="0.35">
      <c r="D246" s="13"/>
    </row>
    <row r="247" spans="4:4" x14ac:dyDescent="0.35">
      <c r="D247" s="13"/>
    </row>
    <row r="248" spans="4:4" x14ac:dyDescent="0.35">
      <c r="D248" s="13"/>
    </row>
    <row r="249" spans="4:4" x14ac:dyDescent="0.35">
      <c r="D249" s="13"/>
    </row>
    <row r="250" spans="4:4" x14ac:dyDescent="0.35">
      <c r="D250" s="13"/>
    </row>
    <row r="251" spans="4:4" x14ac:dyDescent="0.35">
      <c r="D251" s="13"/>
    </row>
    <row r="252" spans="4:4" x14ac:dyDescent="0.35">
      <c r="D252" s="13"/>
    </row>
    <row r="253" spans="4:4" x14ac:dyDescent="0.35">
      <c r="D253" s="13"/>
    </row>
    <row r="254" spans="4:4" x14ac:dyDescent="0.35">
      <c r="D254" s="13"/>
    </row>
    <row r="255" spans="4:4" x14ac:dyDescent="0.35">
      <c r="D255" s="13"/>
    </row>
    <row r="256" spans="4:4" x14ac:dyDescent="0.35">
      <c r="D256" s="13"/>
    </row>
    <row r="257" spans="4:4" x14ac:dyDescent="0.35">
      <c r="D257" s="13"/>
    </row>
    <row r="258" spans="4:4" x14ac:dyDescent="0.35">
      <c r="D258" s="13"/>
    </row>
    <row r="259" spans="4:4" x14ac:dyDescent="0.35">
      <c r="D259" s="13"/>
    </row>
    <row r="260" spans="4:4" x14ac:dyDescent="0.35">
      <c r="D260" s="13"/>
    </row>
    <row r="261" spans="4:4" x14ac:dyDescent="0.35">
      <c r="D261" s="13"/>
    </row>
    <row r="262" spans="4:4" x14ac:dyDescent="0.35">
      <c r="D262" s="13"/>
    </row>
    <row r="263" spans="4:4" x14ac:dyDescent="0.35">
      <c r="D263" s="13"/>
    </row>
    <row r="264" spans="4:4" x14ac:dyDescent="0.35">
      <c r="D264" s="13"/>
    </row>
    <row r="265" spans="4:4" x14ac:dyDescent="0.35">
      <c r="D265" s="13"/>
    </row>
    <row r="266" spans="4:4" x14ac:dyDescent="0.35">
      <c r="D266" s="13"/>
    </row>
    <row r="267" spans="4:4" x14ac:dyDescent="0.35">
      <c r="D267" s="13"/>
    </row>
    <row r="268" spans="4:4" x14ac:dyDescent="0.35">
      <c r="D268" s="13"/>
    </row>
    <row r="269" spans="4:4" x14ac:dyDescent="0.35">
      <c r="D269" s="13"/>
    </row>
    <row r="270" spans="4:4" x14ac:dyDescent="0.35">
      <c r="D270" s="13"/>
    </row>
    <row r="271" spans="4:4" x14ac:dyDescent="0.35">
      <c r="D271" s="13"/>
    </row>
    <row r="272" spans="4:4" x14ac:dyDescent="0.35">
      <c r="D272" s="13"/>
    </row>
    <row r="273" spans="4:4" x14ac:dyDescent="0.35">
      <c r="D273" s="13"/>
    </row>
    <row r="274" spans="4:4" x14ac:dyDescent="0.35">
      <c r="D274" s="13"/>
    </row>
    <row r="275" spans="4:4" x14ac:dyDescent="0.35">
      <c r="D275" s="13"/>
    </row>
    <row r="276" spans="4:4" x14ac:dyDescent="0.35">
      <c r="D276" s="13"/>
    </row>
    <row r="277" spans="4:4" x14ac:dyDescent="0.35">
      <c r="D277" s="13"/>
    </row>
    <row r="278" spans="4:4" x14ac:dyDescent="0.35">
      <c r="D278" s="13"/>
    </row>
    <row r="279" spans="4:4" x14ac:dyDescent="0.35">
      <c r="D279" s="13"/>
    </row>
    <row r="280" spans="4:4" x14ac:dyDescent="0.35">
      <c r="D280" s="13"/>
    </row>
    <row r="281" spans="4:4" x14ac:dyDescent="0.35">
      <c r="D281" s="13"/>
    </row>
    <row r="282" spans="4:4" x14ac:dyDescent="0.35">
      <c r="D282" s="13"/>
    </row>
    <row r="283" spans="4:4" x14ac:dyDescent="0.35">
      <c r="D283" s="13"/>
    </row>
    <row r="284" spans="4:4" x14ac:dyDescent="0.35">
      <c r="D284" s="13"/>
    </row>
    <row r="285" spans="4:4" x14ac:dyDescent="0.35">
      <c r="D285" s="13"/>
    </row>
    <row r="286" spans="4:4" x14ac:dyDescent="0.35">
      <c r="D286" s="13"/>
    </row>
    <row r="287" spans="4:4" x14ac:dyDescent="0.35">
      <c r="D287" s="13"/>
    </row>
    <row r="288" spans="4:4" x14ac:dyDescent="0.35">
      <c r="D288" s="13"/>
    </row>
    <row r="289" spans="4:4" x14ac:dyDescent="0.35">
      <c r="D289" s="13"/>
    </row>
    <row r="290" spans="4:4" x14ac:dyDescent="0.35">
      <c r="D290" s="13"/>
    </row>
    <row r="291" spans="4:4" x14ac:dyDescent="0.35">
      <c r="D291" s="13"/>
    </row>
    <row r="292" spans="4:4" x14ac:dyDescent="0.35">
      <c r="D292" s="13"/>
    </row>
    <row r="293" spans="4:4" x14ac:dyDescent="0.35">
      <c r="D293" s="13"/>
    </row>
    <row r="294" spans="4:4" x14ac:dyDescent="0.35">
      <c r="D294" s="13"/>
    </row>
    <row r="295" spans="4:4" x14ac:dyDescent="0.35">
      <c r="D295" s="13"/>
    </row>
    <row r="296" spans="4:4" x14ac:dyDescent="0.35">
      <c r="D296" s="13"/>
    </row>
    <row r="297" spans="4:4" x14ac:dyDescent="0.35">
      <c r="D297" s="13"/>
    </row>
    <row r="298" spans="4:4" x14ac:dyDescent="0.35">
      <c r="D298" s="13"/>
    </row>
    <row r="299" spans="4:4" x14ac:dyDescent="0.35">
      <c r="D299" s="13"/>
    </row>
    <row r="300" spans="4:4" x14ac:dyDescent="0.35">
      <c r="D300" s="13"/>
    </row>
    <row r="301" spans="4:4" x14ac:dyDescent="0.35">
      <c r="D301" s="13"/>
    </row>
    <row r="302" spans="4:4" x14ac:dyDescent="0.35">
      <c r="D302" s="13"/>
    </row>
    <row r="303" spans="4:4" x14ac:dyDescent="0.35">
      <c r="D303" s="13"/>
    </row>
    <row r="304" spans="4:4" x14ac:dyDescent="0.35">
      <c r="D304" s="13"/>
    </row>
    <row r="305" spans="4:4" x14ac:dyDescent="0.35">
      <c r="D305" s="13"/>
    </row>
    <row r="306" spans="4:4" x14ac:dyDescent="0.35">
      <c r="D306" s="13"/>
    </row>
    <row r="307" spans="4:4" x14ac:dyDescent="0.35">
      <c r="D307" s="13"/>
    </row>
    <row r="308" spans="4:4" x14ac:dyDescent="0.35">
      <c r="D308" s="13"/>
    </row>
    <row r="309" spans="4:4" x14ac:dyDescent="0.35">
      <c r="D309" s="13"/>
    </row>
    <row r="310" spans="4:4" x14ac:dyDescent="0.35">
      <c r="D310" s="13"/>
    </row>
    <row r="311" spans="4:4" x14ac:dyDescent="0.35">
      <c r="D311" s="13"/>
    </row>
    <row r="312" spans="4:4" x14ac:dyDescent="0.35">
      <c r="D312" s="13"/>
    </row>
    <row r="313" spans="4:4" x14ac:dyDescent="0.35">
      <c r="D313" s="13"/>
    </row>
    <row r="314" spans="4:4" x14ac:dyDescent="0.35">
      <c r="D314" s="13"/>
    </row>
    <row r="315" spans="4:4" x14ac:dyDescent="0.35">
      <c r="D315" s="13"/>
    </row>
    <row r="316" spans="4:4" x14ac:dyDescent="0.35">
      <c r="D316" s="13"/>
    </row>
    <row r="317" spans="4:4" x14ac:dyDescent="0.35">
      <c r="D317" s="13"/>
    </row>
    <row r="318" spans="4:4" x14ac:dyDescent="0.35">
      <c r="D318" s="13"/>
    </row>
    <row r="319" spans="4:4" x14ac:dyDescent="0.35">
      <c r="D319" s="13"/>
    </row>
    <row r="320" spans="4:4" x14ac:dyDescent="0.35">
      <c r="D320" s="13"/>
    </row>
    <row r="321" spans="4:4" x14ac:dyDescent="0.35">
      <c r="D321" s="13"/>
    </row>
    <row r="322" spans="4:4" x14ac:dyDescent="0.35">
      <c r="D322" s="13"/>
    </row>
    <row r="323" spans="4:4" x14ac:dyDescent="0.35">
      <c r="D323" s="13"/>
    </row>
    <row r="324" spans="4:4" x14ac:dyDescent="0.35">
      <c r="D324" s="13"/>
    </row>
    <row r="325" spans="4:4" x14ac:dyDescent="0.35">
      <c r="D325" s="13"/>
    </row>
    <row r="326" spans="4:4" x14ac:dyDescent="0.35">
      <c r="D326" s="13"/>
    </row>
    <row r="327" spans="4:4" x14ac:dyDescent="0.35">
      <c r="D327" s="13"/>
    </row>
    <row r="328" spans="4:4" x14ac:dyDescent="0.35">
      <c r="D328" s="13"/>
    </row>
    <row r="329" spans="4:4" x14ac:dyDescent="0.35">
      <c r="D329" s="13"/>
    </row>
    <row r="330" spans="4:4" x14ac:dyDescent="0.35">
      <c r="D330" s="13"/>
    </row>
    <row r="331" spans="4:4" x14ac:dyDescent="0.35">
      <c r="D331" s="13"/>
    </row>
    <row r="332" spans="4:4" x14ac:dyDescent="0.35">
      <c r="D332" s="13"/>
    </row>
    <row r="333" spans="4:4" x14ac:dyDescent="0.35">
      <c r="D333" s="13"/>
    </row>
    <row r="334" spans="4:4" x14ac:dyDescent="0.35">
      <c r="D334" s="13"/>
    </row>
    <row r="335" spans="4:4" x14ac:dyDescent="0.35">
      <c r="D335" s="13"/>
    </row>
    <row r="336" spans="4:4" x14ac:dyDescent="0.35">
      <c r="D336" s="13"/>
    </row>
    <row r="337" spans="4:4" x14ac:dyDescent="0.35">
      <c r="D337" s="13"/>
    </row>
    <row r="338" spans="4:4" x14ac:dyDescent="0.35">
      <c r="D338" s="13"/>
    </row>
    <row r="339" spans="4:4" x14ac:dyDescent="0.35">
      <c r="D339" s="13"/>
    </row>
    <row r="340" spans="4:4" x14ac:dyDescent="0.35">
      <c r="D340" s="13"/>
    </row>
    <row r="341" spans="4:4" x14ac:dyDescent="0.35">
      <c r="D341" s="13"/>
    </row>
    <row r="342" spans="4:4" x14ac:dyDescent="0.35">
      <c r="D342" s="13"/>
    </row>
    <row r="343" spans="4:4" x14ac:dyDescent="0.35">
      <c r="D343" s="13"/>
    </row>
    <row r="344" spans="4:4" x14ac:dyDescent="0.35">
      <c r="D344" s="13"/>
    </row>
    <row r="345" spans="4:4" x14ac:dyDescent="0.35">
      <c r="D345" s="13"/>
    </row>
    <row r="346" spans="4:4" x14ac:dyDescent="0.35">
      <c r="D346" s="13"/>
    </row>
    <row r="347" spans="4:4" x14ac:dyDescent="0.35">
      <c r="D347" s="13"/>
    </row>
    <row r="348" spans="4:4" x14ac:dyDescent="0.35">
      <c r="D348" s="13"/>
    </row>
    <row r="349" spans="4:4" x14ac:dyDescent="0.35">
      <c r="D349" s="13"/>
    </row>
    <row r="350" spans="4:4" x14ac:dyDescent="0.35">
      <c r="D350" s="13"/>
    </row>
    <row r="351" spans="4:4" x14ac:dyDescent="0.35">
      <c r="D351" s="13"/>
    </row>
    <row r="352" spans="4:4" x14ac:dyDescent="0.35">
      <c r="D352" s="13"/>
    </row>
    <row r="353" spans="4:4" x14ac:dyDescent="0.35">
      <c r="D353" s="13"/>
    </row>
    <row r="354" spans="4:4" x14ac:dyDescent="0.35">
      <c r="D354" s="13"/>
    </row>
    <row r="355" spans="4:4" x14ac:dyDescent="0.35">
      <c r="D355" s="13"/>
    </row>
    <row r="356" spans="4:4" x14ac:dyDescent="0.35">
      <c r="D356" s="13"/>
    </row>
    <row r="357" spans="4:4" x14ac:dyDescent="0.35">
      <c r="D357" s="13"/>
    </row>
    <row r="358" spans="4:4" x14ac:dyDescent="0.35">
      <c r="D358" s="13"/>
    </row>
    <row r="359" spans="4:4" x14ac:dyDescent="0.35">
      <c r="D359" s="13"/>
    </row>
    <row r="360" spans="4:4" x14ac:dyDescent="0.35">
      <c r="D360" s="13"/>
    </row>
    <row r="361" spans="4:4" x14ac:dyDescent="0.35">
      <c r="D361" s="13"/>
    </row>
    <row r="362" spans="4:4" x14ac:dyDescent="0.35">
      <c r="D362" s="13"/>
    </row>
    <row r="363" spans="4:4" x14ac:dyDescent="0.35">
      <c r="D363" s="13"/>
    </row>
    <row r="364" spans="4:4" x14ac:dyDescent="0.35">
      <c r="D364" s="13"/>
    </row>
    <row r="365" spans="4:4" x14ac:dyDescent="0.35">
      <c r="D365" s="13"/>
    </row>
    <row r="366" spans="4:4" x14ac:dyDescent="0.35">
      <c r="D366" s="13"/>
    </row>
    <row r="367" spans="4:4" x14ac:dyDescent="0.35">
      <c r="D367" s="13"/>
    </row>
    <row r="368" spans="4:4" x14ac:dyDescent="0.35">
      <c r="D368" s="13"/>
    </row>
    <row r="369" spans="4:4" x14ac:dyDescent="0.35">
      <c r="D369" s="13"/>
    </row>
    <row r="370" spans="4:4" x14ac:dyDescent="0.35">
      <c r="D370" s="13"/>
    </row>
    <row r="371" spans="4:4" x14ac:dyDescent="0.35">
      <c r="D371" s="13"/>
    </row>
    <row r="372" spans="4:4" x14ac:dyDescent="0.35">
      <c r="D372" s="13"/>
    </row>
    <row r="373" spans="4:4" x14ac:dyDescent="0.35">
      <c r="D373" s="13"/>
    </row>
    <row r="374" spans="4:4" x14ac:dyDescent="0.35">
      <c r="D374" s="13"/>
    </row>
    <row r="375" spans="4:4" x14ac:dyDescent="0.35">
      <c r="D375" s="13"/>
    </row>
    <row r="376" spans="4:4" x14ac:dyDescent="0.35">
      <c r="D376" s="13"/>
    </row>
    <row r="377" spans="4:4" x14ac:dyDescent="0.35">
      <c r="D377" s="13"/>
    </row>
    <row r="378" spans="4:4" x14ac:dyDescent="0.35">
      <c r="D378" s="13"/>
    </row>
    <row r="379" spans="4:4" x14ac:dyDescent="0.35">
      <c r="D379" s="13"/>
    </row>
    <row r="380" spans="4:4" x14ac:dyDescent="0.35">
      <c r="D380" s="13"/>
    </row>
    <row r="381" spans="4:4" x14ac:dyDescent="0.35">
      <c r="D381" s="13"/>
    </row>
    <row r="382" spans="4:4" x14ac:dyDescent="0.35">
      <c r="D382" s="13"/>
    </row>
    <row r="383" spans="4:4" x14ac:dyDescent="0.35">
      <c r="D383" s="13"/>
    </row>
    <row r="384" spans="4:4" x14ac:dyDescent="0.35">
      <c r="D384" s="13"/>
    </row>
    <row r="385" spans="4:4" x14ac:dyDescent="0.35">
      <c r="D385" s="13"/>
    </row>
    <row r="386" spans="4:4" x14ac:dyDescent="0.35">
      <c r="D386" s="13"/>
    </row>
    <row r="387" spans="4:4" x14ac:dyDescent="0.35">
      <c r="D387" s="13"/>
    </row>
    <row r="388" spans="4:4" x14ac:dyDescent="0.35">
      <c r="D388" s="13"/>
    </row>
    <row r="389" spans="4:4" x14ac:dyDescent="0.35">
      <c r="D389" s="13"/>
    </row>
    <row r="390" spans="4:4" x14ac:dyDescent="0.35">
      <c r="D390" s="13"/>
    </row>
    <row r="391" spans="4:4" x14ac:dyDescent="0.35">
      <c r="D391" s="13"/>
    </row>
    <row r="392" spans="4:4" x14ac:dyDescent="0.35">
      <c r="D392" s="13"/>
    </row>
    <row r="393" spans="4:4" x14ac:dyDescent="0.35">
      <c r="D393" s="13"/>
    </row>
    <row r="394" spans="4:4" x14ac:dyDescent="0.35">
      <c r="D394" s="13"/>
    </row>
    <row r="395" spans="4:4" x14ac:dyDescent="0.35">
      <c r="D395" s="13"/>
    </row>
    <row r="396" spans="4:4" x14ac:dyDescent="0.35">
      <c r="D396" s="13"/>
    </row>
    <row r="397" spans="4:4" x14ac:dyDescent="0.35">
      <c r="D397" s="13"/>
    </row>
    <row r="398" spans="4:4" x14ac:dyDescent="0.35">
      <c r="D398" s="13"/>
    </row>
    <row r="399" spans="4:4" x14ac:dyDescent="0.35">
      <c r="D399" s="13"/>
    </row>
    <row r="400" spans="4:4" x14ac:dyDescent="0.35">
      <c r="D400" s="13"/>
    </row>
    <row r="401" spans="4:4" x14ac:dyDescent="0.35">
      <c r="D401" s="13"/>
    </row>
    <row r="402" spans="4:4" x14ac:dyDescent="0.35">
      <c r="D402" s="13"/>
    </row>
    <row r="403" spans="4:4" x14ac:dyDescent="0.35">
      <c r="D403" s="13"/>
    </row>
    <row r="404" spans="4:4" x14ac:dyDescent="0.35">
      <c r="D404" s="13"/>
    </row>
    <row r="405" spans="4:4" x14ac:dyDescent="0.35">
      <c r="D405" s="13"/>
    </row>
    <row r="406" spans="4:4" x14ac:dyDescent="0.35">
      <c r="D406" s="13"/>
    </row>
    <row r="407" spans="4:4" x14ac:dyDescent="0.35">
      <c r="D407" s="13"/>
    </row>
    <row r="408" spans="4:4" x14ac:dyDescent="0.35">
      <c r="D408" s="13"/>
    </row>
    <row r="409" spans="4:4" x14ac:dyDescent="0.35">
      <c r="D409" s="13"/>
    </row>
    <row r="410" spans="4:4" x14ac:dyDescent="0.35">
      <c r="D410" s="13"/>
    </row>
    <row r="411" spans="4:4" x14ac:dyDescent="0.35">
      <c r="D411" s="13"/>
    </row>
    <row r="412" spans="4:4" x14ac:dyDescent="0.35">
      <c r="D412" s="13"/>
    </row>
    <row r="413" spans="4:4" x14ac:dyDescent="0.35">
      <c r="D413" s="13"/>
    </row>
    <row r="414" spans="4:4" x14ac:dyDescent="0.35">
      <c r="D414" s="13"/>
    </row>
    <row r="415" spans="4:4" x14ac:dyDescent="0.35">
      <c r="D415" s="13"/>
    </row>
    <row r="416" spans="4:4" x14ac:dyDescent="0.35">
      <c r="D416" s="13"/>
    </row>
    <row r="417" spans="4:4" x14ac:dyDescent="0.35">
      <c r="D417" s="13"/>
    </row>
    <row r="418" spans="4:4" x14ac:dyDescent="0.35">
      <c r="D418" s="13"/>
    </row>
    <row r="419" spans="4:4" x14ac:dyDescent="0.35">
      <c r="D419" s="13"/>
    </row>
    <row r="420" spans="4:4" x14ac:dyDescent="0.35">
      <c r="D420" s="13"/>
    </row>
    <row r="421" spans="4:4" x14ac:dyDescent="0.35">
      <c r="D421" s="13"/>
    </row>
    <row r="422" spans="4:4" x14ac:dyDescent="0.35">
      <c r="D422" s="13"/>
    </row>
    <row r="423" spans="4:4" x14ac:dyDescent="0.35">
      <c r="D423" s="13"/>
    </row>
    <row r="424" spans="4:4" x14ac:dyDescent="0.35">
      <c r="D424" s="13"/>
    </row>
    <row r="425" spans="4:4" x14ac:dyDescent="0.35">
      <c r="D425" s="13"/>
    </row>
    <row r="426" spans="4:4" x14ac:dyDescent="0.35">
      <c r="D426" s="13"/>
    </row>
    <row r="427" spans="4:4" x14ac:dyDescent="0.35">
      <c r="D427" s="13"/>
    </row>
    <row r="428" spans="4:4" x14ac:dyDescent="0.35">
      <c r="D428" s="13"/>
    </row>
    <row r="429" spans="4:4" x14ac:dyDescent="0.35">
      <c r="D429" s="13"/>
    </row>
    <row r="430" spans="4:4" x14ac:dyDescent="0.35">
      <c r="D430" s="13"/>
    </row>
    <row r="431" spans="4:4" x14ac:dyDescent="0.35">
      <c r="D431" s="13"/>
    </row>
    <row r="432" spans="4:4" x14ac:dyDescent="0.35">
      <c r="D432" s="13"/>
    </row>
    <row r="433" spans="4:4" x14ac:dyDescent="0.35">
      <c r="D433" s="13"/>
    </row>
    <row r="434" spans="4:4" x14ac:dyDescent="0.35">
      <c r="D434" s="13"/>
    </row>
    <row r="435" spans="4:4" x14ac:dyDescent="0.35">
      <c r="D435" s="13"/>
    </row>
    <row r="436" spans="4:4" x14ac:dyDescent="0.35">
      <c r="D436" s="13"/>
    </row>
    <row r="437" spans="4:4" x14ac:dyDescent="0.35">
      <c r="D437" s="13"/>
    </row>
    <row r="438" spans="4:4" x14ac:dyDescent="0.35">
      <c r="D438" s="13"/>
    </row>
    <row r="439" spans="4:4" x14ac:dyDescent="0.35">
      <c r="D439" s="13"/>
    </row>
    <row r="440" spans="4:4" x14ac:dyDescent="0.35">
      <c r="D440" s="13"/>
    </row>
    <row r="441" spans="4:4" x14ac:dyDescent="0.35">
      <c r="D441" s="13"/>
    </row>
    <row r="442" spans="4:4" x14ac:dyDescent="0.35">
      <c r="D442" s="13"/>
    </row>
    <row r="443" spans="4:4" x14ac:dyDescent="0.35">
      <c r="D443" s="13"/>
    </row>
    <row r="444" spans="4:4" x14ac:dyDescent="0.35">
      <c r="D444" s="13"/>
    </row>
    <row r="445" spans="4:4" x14ac:dyDescent="0.35">
      <c r="D445" s="13"/>
    </row>
    <row r="446" spans="4:4" x14ac:dyDescent="0.35">
      <c r="D446" s="13"/>
    </row>
    <row r="447" spans="4:4" x14ac:dyDescent="0.35">
      <c r="D447" s="13"/>
    </row>
    <row r="448" spans="4:4" x14ac:dyDescent="0.35">
      <c r="D448" s="13"/>
    </row>
    <row r="449" spans="4:4" x14ac:dyDescent="0.35">
      <c r="D449" s="13"/>
    </row>
    <row r="450" spans="4:4" x14ac:dyDescent="0.35">
      <c r="D450" s="13"/>
    </row>
    <row r="451" spans="4:4" x14ac:dyDescent="0.35">
      <c r="D451" s="13"/>
    </row>
    <row r="452" spans="4:4" x14ac:dyDescent="0.35">
      <c r="D452" s="13"/>
    </row>
    <row r="453" spans="4:4" x14ac:dyDescent="0.35">
      <c r="D453" s="13"/>
    </row>
    <row r="454" spans="4:4" x14ac:dyDescent="0.35">
      <c r="D454" s="13"/>
    </row>
    <row r="455" spans="4:4" x14ac:dyDescent="0.35">
      <c r="D455" s="13"/>
    </row>
    <row r="456" spans="4:4" x14ac:dyDescent="0.35">
      <c r="D456" s="13"/>
    </row>
    <row r="457" spans="4:4" x14ac:dyDescent="0.35">
      <c r="D457" s="13"/>
    </row>
    <row r="458" spans="4:4" x14ac:dyDescent="0.35">
      <c r="D458" s="13"/>
    </row>
    <row r="459" spans="4:4" x14ac:dyDescent="0.35">
      <c r="D459" s="13"/>
    </row>
    <row r="460" spans="4:4" x14ac:dyDescent="0.35">
      <c r="D460" s="13"/>
    </row>
    <row r="461" spans="4:4" x14ac:dyDescent="0.35">
      <c r="D461" s="13"/>
    </row>
    <row r="462" spans="4:4" x14ac:dyDescent="0.35">
      <c r="D462" s="13"/>
    </row>
    <row r="463" spans="4:4" x14ac:dyDescent="0.35">
      <c r="D463" s="13"/>
    </row>
    <row r="464" spans="4:4" x14ac:dyDescent="0.35">
      <c r="D464" s="13"/>
    </row>
    <row r="465" spans="4:4" x14ac:dyDescent="0.35">
      <c r="D465" s="13"/>
    </row>
    <row r="466" spans="4:4" x14ac:dyDescent="0.35">
      <c r="D466" s="13"/>
    </row>
    <row r="467" spans="4:4" x14ac:dyDescent="0.35">
      <c r="D467" s="13"/>
    </row>
    <row r="468" spans="4:4" x14ac:dyDescent="0.35">
      <c r="D468" s="13"/>
    </row>
    <row r="469" spans="4:4" x14ac:dyDescent="0.35">
      <c r="D469" s="13"/>
    </row>
    <row r="470" spans="4:4" x14ac:dyDescent="0.35">
      <c r="D470" s="13"/>
    </row>
    <row r="471" spans="4:4" x14ac:dyDescent="0.35">
      <c r="D471" s="13"/>
    </row>
    <row r="472" spans="4:4" x14ac:dyDescent="0.35">
      <c r="D472" s="13"/>
    </row>
    <row r="473" spans="4:4" x14ac:dyDescent="0.35">
      <c r="D473" s="13"/>
    </row>
    <row r="474" spans="4:4" x14ac:dyDescent="0.35">
      <c r="D474" s="13"/>
    </row>
    <row r="475" spans="4:4" x14ac:dyDescent="0.35">
      <c r="D475" s="13"/>
    </row>
    <row r="476" spans="4:4" x14ac:dyDescent="0.35">
      <c r="D476" s="13"/>
    </row>
    <row r="477" spans="4:4" x14ac:dyDescent="0.35">
      <c r="D477" s="13"/>
    </row>
    <row r="478" spans="4:4" x14ac:dyDescent="0.35">
      <c r="D478" s="13"/>
    </row>
    <row r="479" spans="4:4" x14ac:dyDescent="0.35">
      <c r="D479" s="13"/>
    </row>
    <row r="480" spans="4:4" x14ac:dyDescent="0.35">
      <c r="D480" s="13"/>
    </row>
    <row r="481" spans="4:4" x14ac:dyDescent="0.35">
      <c r="D481" s="13"/>
    </row>
    <row r="482" spans="4:4" x14ac:dyDescent="0.35">
      <c r="D482" s="13"/>
    </row>
    <row r="483" spans="4:4" x14ac:dyDescent="0.35">
      <c r="D483" s="13"/>
    </row>
    <row r="484" spans="4:4" x14ac:dyDescent="0.35">
      <c r="D484" s="13"/>
    </row>
    <row r="485" spans="4:4" x14ac:dyDescent="0.35">
      <c r="D485" s="13"/>
    </row>
    <row r="486" spans="4:4" x14ac:dyDescent="0.35">
      <c r="D486" s="13"/>
    </row>
    <row r="487" spans="4:4" x14ac:dyDescent="0.35">
      <c r="D487" s="13"/>
    </row>
    <row r="488" spans="4:4" x14ac:dyDescent="0.35">
      <c r="D488" s="13"/>
    </row>
    <row r="489" spans="4:4" x14ac:dyDescent="0.35">
      <c r="D489" s="13"/>
    </row>
    <row r="490" spans="4:4" x14ac:dyDescent="0.35">
      <c r="D490" s="13"/>
    </row>
    <row r="491" spans="4:4" x14ac:dyDescent="0.35">
      <c r="D491" s="13"/>
    </row>
    <row r="492" spans="4:4" x14ac:dyDescent="0.35">
      <c r="D492" s="13"/>
    </row>
    <row r="493" spans="4:4" x14ac:dyDescent="0.35">
      <c r="D493" s="13"/>
    </row>
    <row r="494" spans="4:4" x14ac:dyDescent="0.35">
      <c r="D494" s="13"/>
    </row>
    <row r="495" spans="4:4" x14ac:dyDescent="0.35">
      <c r="D495" s="13"/>
    </row>
    <row r="496" spans="4:4" x14ac:dyDescent="0.35">
      <c r="D496" s="13"/>
    </row>
    <row r="497" spans="4:4" x14ac:dyDescent="0.35">
      <c r="D497" s="13"/>
    </row>
    <row r="498" spans="4:4" x14ac:dyDescent="0.35">
      <c r="D498" s="13"/>
    </row>
    <row r="499" spans="4:4" x14ac:dyDescent="0.35">
      <c r="D499" s="13"/>
    </row>
    <row r="500" spans="4:4" x14ac:dyDescent="0.35">
      <c r="D500" s="13"/>
    </row>
    <row r="501" spans="4:4" x14ac:dyDescent="0.35">
      <c r="D501" s="13"/>
    </row>
    <row r="502" spans="4:4" x14ac:dyDescent="0.35">
      <c r="D502" s="13"/>
    </row>
    <row r="503" spans="4:4" x14ac:dyDescent="0.35">
      <c r="D503" s="13"/>
    </row>
    <row r="504" spans="4:4" x14ac:dyDescent="0.35">
      <c r="D504" s="13"/>
    </row>
    <row r="505" spans="4:4" x14ac:dyDescent="0.35">
      <c r="D505" s="13"/>
    </row>
    <row r="506" spans="4:4" x14ac:dyDescent="0.35">
      <c r="D506" s="13"/>
    </row>
    <row r="507" spans="4:4" x14ac:dyDescent="0.35">
      <c r="D507" s="13"/>
    </row>
    <row r="508" spans="4:4" x14ac:dyDescent="0.35">
      <c r="D508" s="13"/>
    </row>
    <row r="509" spans="4:4" x14ac:dyDescent="0.35">
      <c r="D509" s="13"/>
    </row>
    <row r="510" spans="4:4" x14ac:dyDescent="0.35">
      <c r="D510" s="13"/>
    </row>
    <row r="511" spans="4:4" x14ac:dyDescent="0.35">
      <c r="D511" s="13"/>
    </row>
    <row r="512" spans="4:4" x14ac:dyDescent="0.35">
      <c r="D512" s="13"/>
    </row>
    <row r="513" spans="4:4" x14ac:dyDescent="0.35">
      <c r="D513" s="13"/>
    </row>
    <row r="514" spans="4:4" x14ac:dyDescent="0.35">
      <c r="D514" s="13"/>
    </row>
    <row r="515" spans="4:4" x14ac:dyDescent="0.35">
      <c r="D515" s="13"/>
    </row>
    <row r="516" spans="4:4" x14ac:dyDescent="0.35">
      <c r="D516" s="13"/>
    </row>
    <row r="517" spans="4:4" x14ac:dyDescent="0.35">
      <c r="D517" s="13"/>
    </row>
    <row r="518" spans="4:4" x14ac:dyDescent="0.35">
      <c r="D518" s="13"/>
    </row>
    <row r="519" spans="4:4" x14ac:dyDescent="0.35">
      <c r="D519" s="13"/>
    </row>
    <row r="520" spans="4:4" x14ac:dyDescent="0.35">
      <c r="D520" s="13"/>
    </row>
    <row r="521" spans="4:4" x14ac:dyDescent="0.35">
      <c r="D521" s="13"/>
    </row>
    <row r="522" spans="4:4" x14ac:dyDescent="0.35">
      <c r="D522" s="13"/>
    </row>
    <row r="523" spans="4:4" x14ac:dyDescent="0.35">
      <c r="D523" s="13"/>
    </row>
    <row r="524" spans="4:4" x14ac:dyDescent="0.35">
      <c r="D524" s="13"/>
    </row>
    <row r="525" spans="4:4" x14ac:dyDescent="0.35">
      <c r="D525" s="13"/>
    </row>
    <row r="526" spans="4:4" x14ac:dyDescent="0.35">
      <c r="D526" s="13"/>
    </row>
    <row r="527" spans="4:4" x14ac:dyDescent="0.35">
      <c r="D527" s="13"/>
    </row>
    <row r="528" spans="4:4" x14ac:dyDescent="0.35">
      <c r="D528" s="13"/>
    </row>
    <row r="529" spans="4:4" x14ac:dyDescent="0.35">
      <c r="D529" s="13"/>
    </row>
    <row r="530" spans="4:4" x14ac:dyDescent="0.35">
      <c r="D530" s="13"/>
    </row>
    <row r="531" spans="4:4" x14ac:dyDescent="0.35">
      <c r="D531" s="13"/>
    </row>
    <row r="532" spans="4:4" x14ac:dyDescent="0.35">
      <c r="D532" s="13"/>
    </row>
    <row r="533" spans="4:4" x14ac:dyDescent="0.35">
      <c r="D533" s="13"/>
    </row>
    <row r="534" spans="4:4" x14ac:dyDescent="0.35">
      <c r="D534" s="13"/>
    </row>
    <row r="535" spans="4:4" x14ac:dyDescent="0.35">
      <c r="D535" s="13"/>
    </row>
    <row r="536" spans="4:4" x14ac:dyDescent="0.35">
      <c r="D536" s="13"/>
    </row>
    <row r="537" spans="4:4" x14ac:dyDescent="0.35">
      <c r="D537" s="13"/>
    </row>
    <row r="538" spans="4:4" x14ac:dyDescent="0.35">
      <c r="D538" s="13"/>
    </row>
    <row r="539" spans="4:4" x14ac:dyDescent="0.35">
      <c r="D539" s="13"/>
    </row>
    <row r="540" spans="4:4" x14ac:dyDescent="0.35">
      <c r="D540" s="13"/>
    </row>
    <row r="541" spans="4:4" x14ac:dyDescent="0.35">
      <c r="D541" s="13"/>
    </row>
    <row r="542" spans="4:4" x14ac:dyDescent="0.35">
      <c r="D542" s="13"/>
    </row>
    <row r="543" spans="4:4" x14ac:dyDescent="0.35">
      <c r="D543" s="13"/>
    </row>
    <row r="544" spans="4:4" x14ac:dyDescent="0.35">
      <c r="D544" s="13"/>
    </row>
    <row r="545" spans="4:4" x14ac:dyDescent="0.35">
      <c r="D545" s="13"/>
    </row>
    <row r="546" spans="4:4" x14ac:dyDescent="0.35">
      <c r="D546" s="13"/>
    </row>
    <row r="547" spans="4:4" x14ac:dyDescent="0.35">
      <c r="D547" s="13"/>
    </row>
    <row r="548" spans="4:4" x14ac:dyDescent="0.35">
      <c r="D548" s="13"/>
    </row>
    <row r="549" spans="4:4" x14ac:dyDescent="0.35">
      <c r="D549" s="13"/>
    </row>
    <row r="550" spans="4:4" x14ac:dyDescent="0.35">
      <c r="D550" s="13"/>
    </row>
    <row r="551" spans="4:4" x14ac:dyDescent="0.35">
      <c r="D551" s="13"/>
    </row>
    <row r="552" spans="4:4" x14ac:dyDescent="0.35">
      <c r="D552" s="13"/>
    </row>
    <row r="553" spans="4:4" x14ac:dyDescent="0.35">
      <c r="D553" s="13"/>
    </row>
    <row r="554" spans="4:4" x14ac:dyDescent="0.35">
      <c r="D554" s="13"/>
    </row>
    <row r="555" spans="4:4" x14ac:dyDescent="0.35">
      <c r="D555" s="13"/>
    </row>
    <row r="556" spans="4:4" x14ac:dyDescent="0.35">
      <c r="D556" s="13"/>
    </row>
    <row r="557" spans="4:4" x14ac:dyDescent="0.35">
      <c r="D557" s="13"/>
    </row>
    <row r="558" spans="4:4" x14ac:dyDescent="0.35">
      <c r="D558" s="13"/>
    </row>
    <row r="559" spans="4:4" x14ac:dyDescent="0.35">
      <c r="D559" s="13"/>
    </row>
    <row r="560" spans="4:4" x14ac:dyDescent="0.35">
      <c r="D560" s="13"/>
    </row>
    <row r="561" spans="4:4" x14ac:dyDescent="0.35">
      <c r="D561" s="13"/>
    </row>
    <row r="562" spans="4:4" x14ac:dyDescent="0.35">
      <c r="D562" s="13"/>
    </row>
    <row r="563" spans="4:4" x14ac:dyDescent="0.35">
      <c r="D563" s="13"/>
    </row>
    <row r="564" spans="4:4" x14ac:dyDescent="0.35">
      <c r="D564" s="13"/>
    </row>
    <row r="565" spans="4:4" x14ac:dyDescent="0.35">
      <c r="D565" s="13"/>
    </row>
    <row r="566" spans="4:4" x14ac:dyDescent="0.35">
      <c r="D566" s="13"/>
    </row>
    <row r="567" spans="4:4" x14ac:dyDescent="0.35">
      <c r="D567" s="13"/>
    </row>
    <row r="568" spans="4:4" x14ac:dyDescent="0.35">
      <c r="D568" s="13"/>
    </row>
    <row r="569" spans="4:4" x14ac:dyDescent="0.35">
      <c r="D569" s="13"/>
    </row>
    <row r="570" spans="4:4" x14ac:dyDescent="0.35">
      <c r="D570" s="13"/>
    </row>
    <row r="571" spans="4:4" x14ac:dyDescent="0.35">
      <c r="D571" s="13"/>
    </row>
    <row r="572" spans="4:4" x14ac:dyDescent="0.35">
      <c r="D572" s="13"/>
    </row>
    <row r="573" spans="4:4" x14ac:dyDescent="0.35">
      <c r="D573" s="13"/>
    </row>
    <row r="574" spans="4:4" x14ac:dyDescent="0.35">
      <c r="D574" s="13"/>
    </row>
    <row r="575" spans="4:4" x14ac:dyDescent="0.35">
      <c r="D575" s="13"/>
    </row>
    <row r="576" spans="4:4" x14ac:dyDescent="0.35">
      <c r="D576" s="13"/>
    </row>
    <row r="577" spans="4:4" x14ac:dyDescent="0.35">
      <c r="D577" s="13"/>
    </row>
    <row r="578" spans="4:4" x14ac:dyDescent="0.35">
      <c r="D578" s="13"/>
    </row>
    <row r="579" spans="4:4" x14ac:dyDescent="0.35">
      <c r="D579" s="13"/>
    </row>
    <row r="580" spans="4:4" x14ac:dyDescent="0.35">
      <c r="D580" s="13"/>
    </row>
    <row r="581" spans="4:4" x14ac:dyDescent="0.35">
      <c r="D581" s="13"/>
    </row>
    <row r="582" spans="4:4" x14ac:dyDescent="0.35">
      <c r="D582" s="13"/>
    </row>
    <row r="583" spans="4:4" x14ac:dyDescent="0.35">
      <c r="D583" s="13"/>
    </row>
    <row r="584" spans="4:4" x14ac:dyDescent="0.35">
      <c r="D584" s="13"/>
    </row>
    <row r="585" spans="4:4" x14ac:dyDescent="0.35">
      <c r="D585" s="13"/>
    </row>
    <row r="586" spans="4:4" x14ac:dyDescent="0.35">
      <c r="D586" s="13"/>
    </row>
    <row r="587" spans="4:4" x14ac:dyDescent="0.35">
      <c r="D587" s="13"/>
    </row>
    <row r="588" spans="4:4" x14ac:dyDescent="0.35">
      <c r="D588" s="13"/>
    </row>
    <row r="589" spans="4:4" x14ac:dyDescent="0.35">
      <c r="D589" s="13"/>
    </row>
    <row r="590" spans="4:4" x14ac:dyDescent="0.35">
      <c r="D590" s="13"/>
    </row>
    <row r="591" spans="4:4" x14ac:dyDescent="0.35">
      <c r="D591" s="13"/>
    </row>
    <row r="592" spans="4:4" x14ac:dyDescent="0.35">
      <c r="D592" s="13"/>
    </row>
    <row r="593" spans="4:4" x14ac:dyDescent="0.35">
      <c r="D593" s="13"/>
    </row>
    <row r="594" spans="4:4" x14ac:dyDescent="0.35">
      <c r="D594" s="13"/>
    </row>
    <row r="595" spans="4:4" x14ac:dyDescent="0.35">
      <c r="D595" s="13"/>
    </row>
    <row r="596" spans="4:4" x14ac:dyDescent="0.35">
      <c r="D596" s="13"/>
    </row>
    <row r="597" spans="4:4" x14ac:dyDescent="0.35">
      <c r="D597" s="13"/>
    </row>
    <row r="598" spans="4:4" x14ac:dyDescent="0.35">
      <c r="D598" s="13"/>
    </row>
    <row r="599" spans="4:4" x14ac:dyDescent="0.35">
      <c r="D599" s="13"/>
    </row>
    <row r="600" spans="4:4" x14ac:dyDescent="0.35">
      <c r="D600" s="13"/>
    </row>
    <row r="601" spans="4:4" x14ac:dyDescent="0.35">
      <c r="D601" s="13"/>
    </row>
    <row r="602" spans="4:4" x14ac:dyDescent="0.35">
      <c r="D602" s="13"/>
    </row>
    <row r="603" spans="4:4" x14ac:dyDescent="0.35">
      <c r="D603" s="13"/>
    </row>
    <row r="604" spans="4:4" x14ac:dyDescent="0.35">
      <c r="D604" s="13"/>
    </row>
    <row r="605" spans="4:4" x14ac:dyDescent="0.35">
      <c r="D605" s="13"/>
    </row>
    <row r="606" spans="4:4" x14ac:dyDescent="0.35">
      <c r="D606" s="13"/>
    </row>
    <row r="607" spans="4:4" x14ac:dyDescent="0.35">
      <c r="D607" s="13"/>
    </row>
    <row r="608" spans="4:4" x14ac:dyDescent="0.35">
      <c r="D608" s="13"/>
    </row>
    <row r="609" spans="4:4" x14ac:dyDescent="0.35">
      <c r="D609" s="13"/>
    </row>
    <row r="610" spans="4:4" x14ac:dyDescent="0.35">
      <c r="D610" s="13"/>
    </row>
    <row r="611" spans="4:4" x14ac:dyDescent="0.35">
      <c r="D611" s="13"/>
    </row>
    <row r="612" spans="4:4" x14ac:dyDescent="0.35">
      <c r="D612" s="13"/>
    </row>
    <row r="613" spans="4:4" x14ac:dyDescent="0.35">
      <c r="D613" s="13"/>
    </row>
    <row r="614" spans="4:4" x14ac:dyDescent="0.35">
      <c r="D614" s="13"/>
    </row>
    <row r="615" spans="4:4" x14ac:dyDescent="0.35">
      <c r="D615" s="13"/>
    </row>
    <row r="616" spans="4:4" x14ac:dyDescent="0.35">
      <c r="D616" s="13"/>
    </row>
    <row r="617" spans="4:4" x14ac:dyDescent="0.35">
      <c r="D617" s="13"/>
    </row>
    <row r="618" spans="4:4" x14ac:dyDescent="0.35">
      <c r="D618" s="13"/>
    </row>
    <row r="619" spans="4:4" x14ac:dyDescent="0.35">
      <c r="D619" s="13"/>
    </row>
    <row r="620" spans="4:4" x14ac:dyDescent="0.35">
      <c r="D620" s="13"/>
    </row>
    <row r="621" spans="4:4" x14ac:dyDescent="0.35">
      <c r="D621" s="13"/>
    </row>
    <row r="622" spans="4:4" x14ac:dyDescent="0.35">
      <c r="D622" s="13"/>
    </row>
    <row r="623" spans="4:4" x14ac:dyDescent="0.35">
      <c r="D623" s="13"/>
    </row>
    <row r="624" spans="4:4" x14ac:dyDescent="0.35">
      <c r="D624" s="13"/>
    </row>
    <row r="625" spans="4:4" x14ac:dyDescent="0.35">
      <c r="D625" s="13"/>
    </row>
    <row r="626" spans="4:4" x14ac:dyDescent="0.35">
      <c r="D626" s="13"/>
    </row>
    <row r="627" spans="4:4" x14ac:dyDescent="0.35">
      <c r="D627" s="13"/>
    </row>
    <row r="628" spans="4:4" x14ac:dyDescent="0.35">
      <c r="D628" s="13"/>
    </row>
    <row r="629" spans="4:4" x14ac:dyDescent="0.35">
      <c r="D629" s="13"/>
    </row>
    <row r="630" spans="4:4" x14ac:dyDescent="0.35">
      <c r="D630" s="13"/>
    </row>
    <row r="631" spans="4:4" x14ac:dyDescent="0.35">
      <c r="D631" s="13"/>
    </row>
    <row r="632" spans="4:4" x14ac:dyDescent="0.35">
      <c r="D632" s="13"/>
    </row>
    <row r="633" spans="4:4" x14ac:dyDescent="0.35">
      <c r="D633" s="13"/>
    </row>
    <row r="634" spans="4:4" x14ac:dyDescent="0.35">
      <c r="D634" s="13"/>
    </row>
    <row r="635" spans="4:4" x14ac:dyDescent="0.35">
      <c r="D635" s="13"/>
    </row>
    <row r="636" spans="4:4" x14ac:dyDescent="0.35">
      <c r="D636" s="13"/>
    </row>
    <row r="637" spans="4:4" x14ac:dyDescent="0.35">
      <c r="D637" s="13"/>
    </row>
    <row r="638" spans="4:4" x14ac:dyDescent="0.35">
      <c r="D638" s="13"/>
    </row>
    <row r="639" spans="4:4" x14ac:dyDescent="0.35">
      <c r="D639" s="13"/>
    </row>
    <row r="640" spans="4:4" x14ac:dyDescent="0.35">
      <c r="D640" s="13"/>
    </row>
    <row r="641" spans="4:4" x14ac:dyDescent="0.35">
      <c r="D641" s="13"/>
    </row>
    <row r="642" spans="4:4" x14ac:dyDescent="0.35">
      <c r="D642" s="13"/>
    </row>
    <row r="643" spans="4:4" x14ac:dyDescent="0.35">
      <c r="D643" s="13"/>
    </row>
    <row r="644" spans="4:4" x14ac:dyDescent="0.35">
      <c r="D644" s="13"/>
    </row>
    <row r="645" spans="4:4" x14ac:dyDescent="0.35">
      <c r="D645" s="13"/>
    </row>
    <row r="646" spans="4:4" x14ac:dyDescent="0.35">
      <c r="D646" s="13"/>
    </row>
    <row r="647" spans="4:4" x14ac:dyDescent="0.35">
      <c r="D647" s="13"/>
    </row>
    <row r="648" spans="4:4" x14ac:dyDescent="0.35">
      <c r="D648" s="13"/>
    </row>
    <row r="649" spans="4:4" x14ac:dyDescent="0.35">
      <c r="D649" s="13"/>
    </row>
    <row r="650" spans="4:4" x14ac:dyDescent="0.35">
      <c r="D650" s="13"/>
    </row>
    <row r="651" spans="4:4" x14ac:dyDescent="0.35">
      <c r="D651" s="13"/>
    </row>
    <row r="652" spans="4:4" x14ac:dyDescent="0.35">
      <c r="D652" s="13"/>
    </row>
    <row r="653" spans="4:4" x14ac:dyDescent="0.35">
      <c r="D653" s="13"/>
    </row>
    <row r="654" spans="4:4" x14ac:dyDescent="0.35">
      <c r="D654" s="13"/>
    </row>
    <row r="655" spans="4:4" x14ac:dyDescent="0.35">
      <c r="D655" s="13"/>
    </row>
    <row r="656" spans="4:4" x14ac:dyDescent="0.35">
      <c r="D656" s="13"/>
    </row>
    <row r="657" spans="4:4" x14ac:dyDescent="0.35">
      <c r="D657" s="13"/>
    </row>
    <row r="658" spans="4:4" x14ac:dyDescent="0.35">
      <c r="D658" s="13"/>
    </row>
    <row r="659" spans="4:4" x14ac:dyDescent="0.35">
      <c r="D659" s="13"/>
    </row>
    <row r="660" spans="4:4" x14ac:dyDescent="0.35">
      <c r="D660" s="13"/>
    </row>
    <row r="661" spans="4:4" x14ac:dyDescent="0.35">
      <c r="D661" s="13"/>
    </row>
    <row r="662" spans="4:4" x14ac:dyDescent="0.35">
      <c r="D662" s="13"/>
    </row>
    <row r="663" spans="4:4" x14ac:dyDescent="0.35">
      <c r="D663" s="13"/>
    </row>
    <row r="664" spans="4:4" x14ac:dyDescent="0.35">
      <c r="D664" s="13"/>
    </row>
    <row r="665" spans="4:4" x14ac:dyDescent="0.35">
      <c r="D665" s="13"/>
    </row>
    <row r="666" spans="4:4" x14ac:dyDescent="0.35">
      <c r="D666" s="13"/>
    </row>
    <row r="667" spans="4:4" x14ac:dyDescent="0.35">
      <c r="D667" s="13"/>
    </row>
    <row r="668" spans="4:4" x14ac:dyDescent="0.35">
      <c r="D668" s="13"/>
    </row>
    <row r="669" spans="4:4" x14ac:dyDescent="0.35">
      <c r="D669" s="13"/>
    </row>
    <row r="670" spans="4:4" x14ac:dyDescent="0.35">
      <c r="D670" s="13"/>
    </row>
    <row r="671" spans="4:4" x14ac:dyDescent="0.35">
      <c r="D671" s="13"/>
    </row>
    <row r="672" spans="4:4" x14ac:dyDescent="0.35">
      <c r="D672" s="13"/>
    </row>
    <row r="673" spans="4:4" x14ac:dyDescent="0.35">
      <c r="D673" s="13"/>
    </row>
    <row r="674" spans="4:4" x14ac:dyDescent="0.35">
      <c r="D674" s="13"/>
    </row>
    <row r="675" spans="4:4" x14ac:dyDescent="0.35">
      <c r="D675" s="13"/>
    </row>
    <row r="676" spans="4:4" x14ac:dyDescent="0.35">
      <c r="D676" s="13"/>
    </row>
    <row r="677" spans="4:4" x14ac:dyDescent="0.35">
      <c r="D677" s="13"/>
    </row>
    <row r="678" spans="4:4" x14ac:dyDescent="0.35">
      <c r="D678" s="13"/>
    </row>
    <row r="679" spans="4:4" x14ac:dyDescent="0.35">
      <c r="D679" s="13"/>
    </row>
    <row r="680" spans="4:4" x14ac:dyDescent="0.35">
      <c r="D680" s="13"/>
    </row>
    <row r="681" spans="4:4" x14ac:dyDescent="0.35">
      <c r="D681" s="13"/>
    </row>
    <row r="682" spans="4:4" x14ac:dyDescent="0.35">
      <c r="D682" s="13"/>
    </row>
    <row r="683" spans="4:4" x14ac:dyDescent="0.35">
      <c r="D683" s="13"/>
    </row>
    <row r="684" spans="4:4" x14ac:dyDescent="0.35">
      <c r="D684" s="13"/>
    </row>
    <row r="685" spans="4:4" x14ac:dyDescent="0.35">
      <c r="D685" s="13"/>
    </row>
    <row r="686" spans="4:4" x14ac:dyDescent="0.35">
      <c r="D686" s="13"/>
    </row>
    <row r="687" spans="4:4" x14ac:dyDescent="0.35">
      <c r="D687" s="13"/>
    </row>
    <row r="688" spans="4:4" x14ac:dyDescent="0.35">
      <c r="D688" s="13"/>
    </row>
    <row r="689" spans="4:4" x14ac:dyDescent="0.35">
      <c r="D689" s="13"/>
    </row>
    <row r="690" spans="4:4" x14ac:dyDescent="0.35">
      <c r="D690" s="13"/>
    </row>
    <row r="691" spans="4:4" x14ac:dyDescent="0.35">
      <c r="D691" s="13"/>
    </row>
    <row r="692" spans="4:4" x14ac:dyDescent="0.35">
      <c r="D692" s="13"/>
    </row>
    <row r="693" spans="4:4" x14ac:dyDescent="0.35">
      <c r="D693" s="13"/>
    </row>
    <row r="694" spans="4:4" x14ac:dyDescent="0.35">
      <c r="D694" s="13"/>
    </row>
    <row r="695" spans="4:4" x14ac:dyDescent="0.35">
      <c r="D695" s="13"/>
    </row>
    <row r="696" spans="4:4" x14ac:dyDescent="0.35">
      <c r="D696" s="13"/>
    </row>
    <row r="697" spans="4:4" x14ac:dyDescent="0.35">
      <c r="D697" s="13"/>
    </row>
    <row r="698" spans="4:4" x14ac:dyDescent="0.35">
      <c r="D698" s="13"/>
    </row>
    <row r="699" spans="4:4" x14ac:dyDescent="0.35">
      <c r="D699" s="13"/>
    </row>
    <row r="700" spans="4:4" x14ac:dyDescent="0.35">
      <c r="D700" s="13"/>
    </row>
    <row r="701" spans="4:4" x14ac:dyDescent="0.35">
      <c r="D701" s="13"/>
    </row>
    <row r="702" spans="4:4" x14ac:dyDescent="0.35">
      <c r="D702" s="13"/>
    </row>
    <row r="703" spans="4:4" x14ac:dyDescent="0.35">
      <c r="D703" s="13"/>
    </row>
    <row r="704" spans="4:4" x14ac:dyDescent="0.35">
      <c r="D704" s="13"/>
    </row>
    <row r="705" spans="4:4" x14ac:dyDescent="0.35">
      <c r="D705" s="13"/>
    </row>
    <row r="706" spans="4:4" x14ac:dyDescent="0.35">
      <c r="D706" s="13"/>
    </row>
    <row r="707" spans="4:4" x14ac:dyDescent="0.35">
      <c r="D707" s="13"/>
    </row>
    <row r="708" spans="4:4" x14ac:dyDescent="0.35">
      <c r="D708" s="13"/>
    </row>
    <row r="709" spans="4:4" x14ac:dyDescent="0.35">
      <c r="D709" s="13"/>
    </row>
    <row r="710" spans="4:4" x14ac:dyDescent="0.35">
      <c r="D710" s="13"/>
    </row>
    <row r="711" spans="4:4" x14ac:dyDescent="0.35">
      <c r="D711" s="13"/>
    </row>
    <row r="712" spans="4:4" x14ac:dyDescent="0.35">
      <c r="D712" s="13"/>
    </row>
    <row r="713" spans="4:4" x14ac:dyDescent="0.35">
      <c r="D713" s="13"/>
    </row>
    <row r="714" spans="4:4" x14ac:dyDescent="0.35">
      <c r="D714" s="13"/>
    </row>
    <row r="715" spans="4:4" x14ac:dyDescent="0.35">
      <c r="D715" s="13"/>
    </row>
    <row r="716" spans="4:4" x14ac:dyDescent="0.35">
      <c r="D716" s="13"/>
    </row>
    <row r="717" spans="4:4" x14ac:dyDescent="0.35">
      <c r="D717" s="13"/>
    </row>
    <row r="718" spans="4:4" x14ac:dyDescent="0.35">
      <c r="D718" s="13"/>
    </row>
    <row r="719" spans="4:4" x14ac:dyDescent="0.35">
      <c r="D719" s="13"/>
    </row>
    <row r="720" spans="4:4" x14ac:dyDescent="0.35">
      <c r="D720" s="13"/>
    </row>
    <row r="721" spans="4:4" x14ac:dyDescent="0.35">
      <c r="D721" s="13"/>
    </row>
    <row r="722" spans="4:4" x14ac:dyDescent="0.35">
      <c r="D722" s="13"/>
    </row>
    <row r="723" spans="4:4" x14ac:dyDescent="0.35">
      <c r="D723" s="13"/>
    </row>
    <row r="724" spans="4:4" x14ac:dyDescent="0.35">
      <c r="D724" s="13"/>
    </row>
    <row r="725" spans="4:4" x14ac:dyDescent="0.35">
      <c r="D725" s="13"/>
    </row>
    <row r="726" spans="4:4" x14ac:dyDescent="0.35">
      <c r="D726" s="13"/>
    </row>
    <row r="727" spans="4:4" x14ac:dyDescent="0.35">
      <c r="D727" s="13"/>
    </row>
    <row r="728" spans="4:4" x14ac:dyDescent="0.35">
      <c r="D728" s="13"/>
    </row>
    <row r="729" spans="4:4" x14ac:dyDescent="0.35">
      <c r="D729" s="13"/>
    </row>
    <row r="730" spans="4:4" x14ac:dyDescent="0.35">
      <c r="D730" s="13"/>
    </row>
    <row r="731" spans="4:4" x14ac:dyDescent="0.35">
      <c r="D731" s="13"/>
    </row>
    <row r="732" spans="4:4" x14ac:dyDescent="0.35">
      <c r="D732" s="13"/>
    </row>
    <row r="733" spans="4:4" x14ac:dyDescent="0.35">
      <c r="D733" s="13"/>
    </row>
    <row r="734" spans="4:4" x14ac:dyDescent="0.35">
      <c r="D734" s="13"/>
    </row>
    <row r="735" spans="4:4" x14ac:dyDescent="0.35">
      <c r="D735" s="13"/>
    </row>
    <row r="736" spans="4:4" x14ac:dyDescent="0.35">
      <c r="D736" s="13"/>
    </row>
    <row r="737" spans="4:4" x14ac:dyDescent="0.35">
      <c r="D737" s="13"/>
    </row>
    <row r="738" spans="4:4" x14ac:dyDescent="0.35">
      <c r="D738" s="13"/>
    </row>
    <row r="739" spans="4:4" x14ac:dyDescent="0.35">
      <c r="D739" s="13"/>
    </row>
    <row r="740" spans="4:4" x14ac:dyDescent="0.35">
      <c r="D740" s="13"/>
    </row>
    <row r="741" spans="4:4" x14ac:dyDescent="0.35">
      <c r="D741" s="13"/>
    </row>
    <row r="742" spans="4:4" x14ac:dyDescent="0.35">
      <c r="D742" s="13"/>
    </row>
    <row r="743" spans="4:4" x14ac:dyDescent="0.35">
      <c r="D743" s="13"/>
    </row>
    <row r="744" spans="4:4" x14ac:dyDescent="0.35">
      <c r="D744" s="13"/>
    </row>
    <row r="745" spans="4:4" x14ac:dyDescent="0.35">
      <c r="D745" s="13"/>
    </row>
    <row r="746" spans="4:4" x14ac:dyDescent="0.35">
      <c r="D746" s="13"/>
    </row>
    <row r="747" spans="4:4" x14ac:dyDescent="0.35">
      <c r="D747" s="13"/>
    </row>
    <row r="748" spans="4:4" x14ac:dyDescent="0.35">
      <c r="D748" s="13"/>
    </row>
    <row r="749" spans="4:4" x14ac:dyDescent="0.35">
      <c r="D749" s="13"/>
    </row>
    <row r="750" spans="4:4" x14ac:dyDescent="0.35">
      <c r="D750" s="13"/>
    </row>
    <row r="751" spans="4:4" x14ac:dyDescent="0.35">
      <c r="D751" s="13"/>
    </row>
    <row r="752" spans="4:4" x14ac:dyDescent="0.35">
      <c r="D752" s="13"/>
    </row>
    <row r="753" spans="4:4" x14ac:dyDescent="0.35">
      <c r="D753" s="13"/>
    </row>
    <row r="754" spans="4:4" x14ac:dyDescent="0.35">
      <c r="D754" s="13"/>
    </row>
    <row r="755" spans="4:4" x14ac:dyDescent="0.35">
      <c r="D755" s="13"/>
    </row>
    <row r="756" spans="4:4" x14ac:dyDescent="0.35">
      <c r="D756" s="13"/>
    </row>
    <row r="757" spans="4:4" x14ac:dyDescent="0.35">
      <c r="D757" s="13"/>
    </row>
    <row r="758" spans="4:4" x14ac:dyDescent="0.35">
      <c r="D758" s="13"/>
    </row>
    <row r="759" spans="4:4" x14ac:dyDescent="0.35">
      <c r="D759" s="13"/>
    </row>
    <row r="760" spans="4:4" x14ac:dyDescent="0.35">
      <c r="D760" s="13"/>
    </row>
    <row r="761" spans="4:4" x14ac:dyDescent="0.35">
      <c r="D761" s="13"/>
    </row>
    <row r="762" spans="4:4" x14ac:dyDescent="0.35">
      <c r="D762" s="13"/>
    </row>
    <row r="763" spans="4:4" x14ac:dyDescent="0.35">
      <c r="D763" s="13"/>
    </row>
    <row r="764" spans="4:4" x14ac:dyDescent="0.35">
      <c r="D764" s="13"/>
    </row>
    <row r="765" spans="4:4" x14ac:dyDescent="0.35">
      <c r="D765" s="13"/>
    </row>
    <row r="766" spans="4:4" x14ac:dyDescent="0.35">
      <c r="D766" s="13"/>
    </row>
    <row r="767" spans="4:4" x14ac:dyDescent="0.35">
      <c r="D767" s="13"/>
    </row>
    <row r="768" spans="4:4" x14ac:dyDescent="0.35">
      <c r="D768" s="13"/>
    </row>
    <row r="769" spans="4:4" x14ac:dyDescent="0.35">
      <c r="D769" s="13"/>
    </row>
    <row r="770" spans="4:4" x14ac:dyDescent="0.35">
      <c r="D770" s="13"/>
    </row>
    <row r="771" spans="4:4" x14ac:dyDescent="0.35">
      <c r="D771" s="13"/>
    </row>
    <row r="772" spans="4:4" x14ac:dyDescent="0.35">
      <c r="D772" s="13"/>
    </row>
    <row r="773" spans="4:4" x14ac:dyDescent="0.35">
      <c r="D773" s="13"/>
    </row>
    <row r="774" spans="4:4" x14ac:dyDescent="0.35">
      <c r="D774" s="13"/>
    </row>
    <row r="775" spans="4:4" x14ac:dyDescent="0.35">
      <c r="D775" s="13"/>
    </row>
    <row r="776" spans="4:4" x14ac:dyDescent="0.35">
      <c r="D776" s="13"/>
    </row>
    <row r="777" spans="4:4" x14ac:dyDescent="0.35">
      <c r="D777" s="13"/>
    </row>
    <row r="778" spans="4:4" x14ac:dyDescent="0.35">
      <c r="D778" s="13"/>
    </row>
    <row r="779" spans="4:4" x14ac:dyDescent="0.35">
      <c r="D779" s="13"/>
    </row>
    <row r="780" spans="4:4" x14ac:dyDescent="0.35">
      <c r="D780" s="13"/>
    </row>
    <row r="781" spans="4:4" x14ac:dyDescent="0.35">
      <c r="D781" s="13"/>
    </row>
    <row r="782" spans="4:4" x14ac:dyDescent="0.35">
      <c r="D782" s="13"/>
    </row>
    <row r="783" spans="4:4" x14ac:dyDescent="0.35">
      <c r="D783" s="13"/>
    </row>
    <row r="784" spans="4:4" x14ac:dyDescent="0.35">
      <c r="D784" s="13"/>
    </row>
    <row r="785" spans="4:4" x14ac:dyDescent="0.35">
      <c r="D785" s="13"/>
    </row>
    <row r="786" spans="4:4" x14ac:dyDescent="0.35">
      <c r="D786" s="13"/>
    </row>
    <row r="787" spans="4:4" x14ac:dyDescent="0.35">
      <c r="D787" s="13"/>
    </row>
    <row r="788" spans="4:4" x14ac:dyDescent="0.35">
      <c r="D788" s="13"/>
    </row>
    <row r="789" spans="4:4" x14ac:dyDescent="0.35">
      <c r="D789" s="13"/>
    </row>
    <row r="790" spans="4:4" x14ac:dyDescent="0.35">
      <c r="D790" s="13"/>
    </row>
    <row r="791" spans="4:4" x14ac:dyDescent="0.35">
      <c r="D791" s="13"/>
    </row>
    <row r="792" spans="4:4" x14ac:dyDescent="0.35">
      <c r="D792" s="13"/>
    </row>
    <row r="793" spans="4:4" x14ac:dyDescent="0.35">
      <c r="D793" s="13"/>
    </row>
    <row r="794" spans="4:4" x14ac:dyDescent="0.35">
      <c r="D794" s="13"/>
    </row>
    <row r="795" spans="4:4" x14ac:dyDescent="0.35">
      <c r="D795" s="13"/>
    </row>
    <row r="796" spans="4:4" x14ac:dyDescent="0.35">
      <c r="D796" s="13"/>
    </row>
    <row r="797" spans="4:4" x14ac:dyDescent="0.35">
      <c r="D797" s="13"/>
    </row>
    <row r="798" spans="4:4" x14ac:dyDescent="0.35">
      <c r="D798" s="13"/>
    </row>
    <row r="799" spans="4:4" x14ac:dyDescent="0.35">
      <c r="D799" s="13"/>
    </row>
    <row r="800" spans="4:4" x14ac:dyDescent="0.35">
      <c r="D800" s="13"/>
    </row>
    <row r="801" spans="4:4" x14ac:dyDescent="0.35">
      <c r="D801" s="13"/>
    </row>
    <row r="802" spans="4:4" x14ac:dyDescent="0.35">
      <c r="D802" s="13"/>
    </row>
    <row r="803" spans="4:4" x14ac:dyDescent="0.35">
      <c r="D803" s="13"/>
    </row>
    <row r="804" spans="4:4" x14ac:dyDescent="0.35">
      <c r="D804" s="13"/>
    </row>
    <row r="805" spans="4:4" x14ac:dyDescent="0.35">
      <c r="D805" s="13"/>
    </row>
    <row r="806" spans="4:4" x14ac:dyDescent="0.35">
      <c r="D806" s="13"/>
    </row>
    <row r="807" spans="4:4" x14ac:dyDescent="0.35">
      <c r="D807" s="13"/>
    </row>
    <row r="808" spans="4:4" x14ac:dyDescent="0.35">
      <c r="D808" s="13"/>
    </row>
    <row r="809" spans="4:4" x14ac:dyDescent="0.35">
      <c r="D809" s="13"/>
    </row>
    <row r="810" spans="4:4" x14ac:dyDescent="0.35">
      <c r="D810" s="13"/>
    </row>
    <row r="811" spans="4:4" x14ac:dyDescent="0.35">
      <c r="D811" s="13"/>
    </row>
    <row r="812" spans="4:4" x14ac:dyDescent="0.35">
      <c r="D812" s="13"/>
    </row>
    <row r="813" spans="4:4" x14ac:dyDescent="0.35">
      <c r="D813" s="13"/>
    </row>
    <row r="814" spans="4:4" x14ac:dyDescent="0.35">
      <c r="D814" s="13"/>
    </row>
    <row r="815" spans="4:4" x14ac:dyDescent="0.35">
      <c r="D815" s="13"/>
    </row>
    <row r="816" spans="4:4" x14ac:dyDescent="0.35">
      <c r="D816" s="13"/>
    </row>
    <row r="817" spans="4:4" x14ac:dyDescent="0.35">
      <c r="D817" s="13"/>
    </row>
    <row r="818" spans="4:4" x14ac:dyDescent="0.35">
      <c r="D818" s="13"/>
    </row>
    <row r="819" spans="4:4" x14ac:dyDescent="0.35">
      <c r="D819" s="13"/>
    </row>
    <row r="820" spans="4:4" x14ac:dyDescent="0.35">
      <c r="D820" s="13"/>
    </row>
    <row r="821" spans="4:4" x14ac:dyDescent="0.35">
      <c r="D821" s="13"/>
    </row>
    <row r="822" spans="4:4" x14ac:dyDescent="0.35">
      <c r="D822" s="13"/>
    </row>
    <row r="823" spans="4:4" x14ac:dyDescent="0.35">
      <c r="D823" s="13"/>
    </row>
    <row r="824" spans="4:4" x14ac:dyDescent="0.35">
      <c r="D824" s="13"/>
    </row>
    <row r="825" spans="4:4" x14ac:dyDescent="0.35">
      <c r="D825" s="13"/>
    </row>
    <row r="826" spans="4:4" x14ac:dyDescent="0.35">
      <c r="D826" s="13"/>
    </row>
    <row r="827" spans="4:4" x14ac:dyDescent="0.35">
      <c r="D827" s="13"/>
    </row>
    <row r="828" spans="4:4" x14ac:dyDescent="0.35">
      <c r="D828" s="13"/>
    </row>
    <row r="829" spans="4:4" x14ac:dyDescent="0.35">
      <c r="D829" s="13"/>
    </row>
    <row r="830" spans="4:4" x14ac:dyDescent="0.35">
      <c r="D830" s="13"/>
    </row>
    <row r="831" spans="4:4" x14ac:dyDescent="0.35">
      <c r="D831" s="13"/>
    </row>
    <row r="832" spans="4:4" x14ac:dyDescent="0.35">
      <c r="D832" s="13"/>
    </row>
    <row r="833" spans="4:4" x14ac:dyDescent="0.35">
      <c r="D833" s="13"/>
    </row>
    <row r="834" spans="4:4" x14ac:dyDescent="0.35">
      <c r="D834" s="13"/>
    </row>
    <row r="835" spans="4:4" x14ac:dyDescent="0.35">
      <c r="D835" s="13"/>
    </row>
    <row r="836" spans="4:4" x14ac:dyDescent="0.35">
      <c r="D836" s="13"/>
    </row>
    <row r="837" spans="4:4" x14ac:dyDescent="0.35">
      <c r="D837" s="13"/>
    </row>
    <row r="838" spans="4:4" x14ac:dyDescent="0.35">
      <c r="D838" s="13"/>
    </row>
    <row r="839" spans="4:4" x14ac:dyDescent="0.35">
      <c r="D839" s="13"/>
    </row>
    <row r="840" spans="4:4" x14ac:dyDescent="0.35">
      <c r="D840" s="13"/>
    </row>
    <row r="841" spans="4:4" x14ac:dyDescent="0.35">
      <c r="D841" s="13"/>
    </row>
    <row r="842" spans="4:4" x14ac:dyDescent="0.35">
      <c r="D842" s="13"/>
    </row>
    <row r="843" spans="4:4" x14ac:dyDescent="0.35">
      <c r="D843" s="13"/>
    </row>
    <row r="844" spans="4:4" x14ac:dyDescent="0.35">
      <c r="D844" s="13"/>
    </row>
    <row r="845" spans="4:4" x14ac:dyDescent="0.35">
      <c r="D845" s="13"/>
    </row>
    <row r="846" spans="4:4" x14ac:dyDescent="0.35">
      <c r="D846" s="13"/>
    </row>
    <row r="847" spans="4:4" x14ac:dyDescent="0.35">
      <c r="D847" s="13"/>
    </row>
    <row r="848" spans="4:4" x14ac:dyDescent="0.35">
      <c r="D848" s="13"/>
    </row>
    <row r="849" spans="4:4" x14ac:dyDescent="0.35">
      <c r="D849" s="13"/>
    </row>
    <row r="850" spans="4:4" x14ac:dyDescent="0.35">
      <c r="D850" s="13"/>
    </row>
    <row r="851" spans="4:4" x14ac:dyDescent="0.35">
      <c r="D851" s="13"/>
    </row>
    <row r="852" spans="4:4" x14ac:dyDescent="0.35">
      <c r="D852" s="13"/>
    </row>
    <row r="853" spans="4:4" x14ac:dyDescent="0.35">
      <c r="D853" s="13"/>
    </row>
    <row r="854" spans="4:4" x14ac:dyDescent="0.35">
      <c r="D854" s="13"/>
    </row>
    <row r="855" spans="4:4" x14ac:dyDescent="0.35">
      <c r="D855" s="13"/>
    </row>
    <row r="856" spans="4:4" x14ac:dyDescent="0.35">
      <c r="D856" s="13"/>
    </row>
    <row r="857" spans="4:4" x14ac:dyDescent="0.35">
      <c r="D857" s="13"/>
    </row>
    <row r="858" spans="4:4" x14ac:dyDescent="0.35">
      <c r="D858" s="13"/>
    </row>
    <row r="859" spans="4:4" x14ac:dyDescent="0.35">
      <c r="D859" s="13"/>
    </row>
    <row r="860" spans="4:4" x14ac:dyDescent="0.35">
      <c r="D860" s="13"/>
    </row>
    <row r="861" spans="4:4" x14ac:dyDescent="0.35">
      <c r="D861" s="13"/>
    </row>
    <row r="862" spans="4:4" x14ac:dyDescent="0.35">
      <c r="D862" s="13"/>
    </row>
    <row r="863" spans="4:4" x14ac:dyDescent="0.35">
      <c r="D863" s="13"/>
    </row>
    <row r="864" spans="4:4" x14ac:dyDescent="0.35">
      <c r="D864" s="13"/>
    </row>
    <row r="865" spans="4:4" x14ac:dyDescent="0.35">
      <c r="D865" s="13"/>
    </row>
    <row r="866" spans="4:4" x14ac:dyDescent="0.35">
      <c r="D866" s="13"/>
    </row>
    <row r="867" spans="4:4" x14ac:dyDescent="0.35">
      <c r="D867" s="13"/>
    </row>
    <row r="868" spans="4:4" x14ac:dyDescent="0.35">
      <c r="D868" s="13"/>
    </row>
    <row r="869" spans="4:4" x14ac:dyDescent="0.35">
      <c r="D869" s="13"/>
    </row>
    <row r="870" spans="4:4" x14ac:dyDescent="0.35">
      <c r="D870" s="13"/>
    </row>
    <row r="871" spans="4:4" x14ac:dyDescent="0.35">
      <c r="D871" s="13"/>
    </row>
    <row r="872" spans="4:4" x14ac:dyDescent="0.35">
      <c r="D872" s="13"/>
    </row>
    <row r="873" spans="4:4" x14ac:dyDescent="0.35">
      <c r="D873" s="13"/>
    </row>
    <row r="874" spans="4:4" x14ac:dyDescent="0.35">
      <c r="D874" s="13"/>
    </row>
    <row r="875" spans="4:4" x14ac:dyDescent="0.35">
      <c r="D875" s="13"/>
    </row>
    <row r="876" spans="4:4" x14ac:dyDescent="0.35">
      <c r="D876" s="13"/>
    </row>
    <row r="877" spans="4:4" x14ac:dyDescent="0.35">
      <c r="D877" s="13"/>
    </row>
    <row r="878" spans="4:4" x14ac:dyDescent="0.35">
      <c r="D878" s="13"/>
    </row>
    <row r="879" spans="4:4" x14ac:dyDescent="0.35">
      <c r="D879" s="13"/>
    </row>
    <row r="880" spans="4:4" x14ac:dyDescent="0.35">
      <c r="D880" s="13"/>
    </row>
    <row r="881" spans="4:4" x14ac:dyDescent="0.35">
      <c r="D881" s="13"/>
    </row>
    <row r="882" spans="4:4" x14ac:dyDescent="0.35">
      <c r="D882" s="13"/>
    </row>
    <row r="883" spans="4:4" x14ac:dyDescent="0.35">
      <c r="D883" s="13"/>
    </row>
    <row r="884" spans="4:4" x14ac:dyDescent="0.35">
      <c r="D884" s="13"/>
    </row>
    <row r="885" spans="4:4" x14ac:dyDescent="0.35">
      <c r="D885" s="13"/>
    </row>
    <row r="886" spans="4:4" x14ac:dyDescent="0.35">
      <c r="D886" s="13"/>
    </row>
    <row r="887" spans="4:4" x14ac:dyDescent="0.35">
      <c r="D887" s="13"/>
    </row>
    <row r="888" spans="4:4" x14ac:dyDescent="0.35">
      <c r="D888" s="13"/>
    </row>
    <row r="889" spans="4:4" x14ac:dyDescent="0.35">
      <c r="D889" s="13"/>
    </row>
    <row r="890" spans="4:4" x14ac:dyDescent="0.35">
      <c r="D890" s="13"/>
    </row>
    <row r="891" spans="4:4" x14ac:dyDescent="0.35">
      <c r="D891" s="13"/>
    </row>
    <row r="892" spans="4:4" x14ac:dyDescent="0.35">
      <c r="D892" s="13"/>
    </row>
    <row r="893" spans="4:4" x14ac:dyDescent="0.35">
      <c r="D893" s="13"/>
    </row>
    <row r="894" spans="4:4" x14ac:dyDescent="0.35">
      <c r="D894" s="13"/>
    </row>
    <row r="895" spans="4:4" x14ac:dyDescent="0.35">
      <c r="D895" s="13"/>
    </row>
    <row r="896" spans="4:4" x14ac:dyDescent="0.35">
      <c r="D896" s="13"/>
    </row>
    <row r="897" spans="4:4" x14ac:dyDescent="0.35">
      <c r="D897" s="13"/>
    </row>
    <row r="898" spans="4:4" x14ac:dyDescent="0.35">
      <c r="D898" s="13"/>
    </row>
    <row r="899" spans="4:4" x14ac:dyDescent="0.35">
      <c r="D899" s="13"/>
    </row>
    <row r="900" spans="4:4" x14ac:dyDescent="0.35">
      <c r="D900" s="13"/>
    </row>
    <row r="901" spans="4:4" x14ac:dyDescent="0.35">
      <c r="D901" s="13"/>
    </row>
    <row r="902" spans="4:4" x14ac:dyDescent="0.35">
      <c r="D902" s="13"/>
    </row>
    <row r="903" spans="4:4" x14ac:dyDescent="0.35">
      <c r="D903" s="13"/>
    </row>
    <row r="904" spans="4:4" x14ac:dyDescent="0.35">
      <c r="D904" s="13"/>
    </row>
    <row r="905" spans="4:4" x14ac:dyDescent="0.35">
      <c r="D905" s="13"/>
    </row>
    <row r="906" spans="4:4" x14ac:dyDescent="0.35">
      <c r="D906" s="13"/>
    </row>
    <row r="907" spans="4:4" x14ac:dyDescent="0.35">
      <c r="D907" s="13"/>
    </row>
    <row r="908" spans="4:4" x14ac:dyDescent="0.35">
      <c r="D908" s="13"/>
    </row>
    <row r="909" spans="4:4" x14ac:dyDescent="0.35">
      <c r="D909" s="13"/>
    </row>
    <row r="910" spans="4:4" x14ac:dyDescent="0.35">
      <c r="D910" s="13"/>
    </row>
    <row r="911" spans="4:4" x14ac:dyDescent="0.35">
      <c r="D911" s="13"/>
    </row>
    <row r="912" spans="4:4" x14ac:dyDescent="0.35">
      <c r="D912" s="13"/>
    </row>
    <row r="913" spans="4:4" x14ac:dyDescent="0.35">
      <c r="D913" s="13"/>
    </row>
    <row r="914" spans="4:4" x14ac:dyDescent="0.35">
      <c r="D914" s="13"/>
    </row>
    <row r="915" spans="4:4" x14ac:dyDescent="0.35">
      <c r="D915" s="13"/>
    </row>
    <row r="916" spans="4:4" x14ac:dyDescent="0.35">
      <c r="D916" s="13"/>
    </row>
    <row r="917" spans="4:4" x14ac:dyDescent="0.35">
      <c r="D917" s="13"/>
    </row>
    <row r="918" spans="4:4" x14ac:dyDescent="0.35">
      <c r="D918" s="13"/>
    </row>
    <row r="919" spans="4:4" x14ac:dyDescent="0.35">
      <c r="D919" s="13"/>
    </row>
    <row r="920" spans="4:4" x14ac:dyDescent="0.35">
      <c r="D920" s="13"/>
    </row>
    <row r="921" spans="4:4" x14ac:dyDescent="0.35">
      <c r="D921" s="13"/>
    </row>
    <row r="922" spans="4:4" x14ac:dyDescent="0.35">
      <c r="D922" s="13"/>
    </row>
    <row r="923" spans="4:4" x14ac:dyDescent="0.35">
      <c r="D923" s="13"/>
    </row>
    <row r="924" spans="4:4" x14ac:dyDescent="0.35">
      <c r="D924" s="13"/>
    </row>
    <row r="925" spans="4:4" x14ac:dyDescent="0.35">
      <c r="D925" s="13"/>
    </row>
    <row r="926" spans="4:4" x14ac:dyDescent="0.35">
      <c r="D926" s="13"/>
    </row>
    <row r="927" spans="4:4" x14ac:dyDescent="0.35">
      <c r="D927" s="13"/>
    </row>
    <row r="928" spans="4:4" x14ac:dyDescent="0.35">
      <c r="D928" s="13"/>
    </row>
    <row r="929" spans="4:4" x14ac:dyDescent="0.35">
      <c r="D929" s="13"/>
    </row>
    <row r="930" spans="4:4" x14ac:dyDescent="0.35">
      <c r="D930" s="13"/>
    </row>
    <row r="931" spans="4:4" x14ac:dyDescent="0.35">
      <c r="D931" s="13"/>
    </row>
    <row r="932" spans="4:4" x14ac:dyDescent="0.35">
      <c r="D932" s="13"/>
    </row>
    <row r="933" spans="4:4" x14ac:dyDescent="0.35">
      <c r="D933" s="13"/>
    </row>
    <row r="934" spans="4:4" x14ac:dyDescent="0.35">
      <c r="D934" s="13"/>
    </row>
    <row r="935" spans="4:4" x14ac:dyDescent="0.35">
      <c r="D935" s="13"/>
    </row>
    <row r="936" spans="4:4" x14ac:dyDescent="0.35">
      <c r="D936" s="13"/>
    </row>
    <row r="937" spans="4:4" x14ac:dyDescent="0.35">
      <c r="D937" s="13"/>
    </row>
    <row r="938" spans="4:4" x14ac:dyDescent="0.35">
      <c r="D938" s="13"/>
    </row>
    <row r="939" spans="4:4" x14ac:dyDescent="0.35">
      <c r="D939" s="13"/>
    </row>
    <row r="940" spans="4:4" x14ac:dyDescent="0.35">
      <c r="D940" s="13"/>
    </row>
    <row r="941" spans="4:4" x14ac:dyDescent="0.35">
      <c r="D941" s="13"/>
    </row>
    <row r="942" spans="4:4" x14ac:dyDescent="0.35">
      <c r="D942" s="13"/>
    </row>
    <row r="943" spans="4:4" x14ac:dyDescent="0.35">
      <c r="D943" s="13"/>
    </row>
    <row r="944" spans="4:4" x14ac:dyDescent="0.35">
      <c r="D944" s="13"/>
    </row>
    <row r="945" spans="4:4" x14ac:dyDescent="0.35">
      <c r="D945" s="13"/>
    </row>
    <row r="946" spans="4:4" x14ac:dyDescent="0.35">
      <c r="D946" s="13"/>
    </row>
    <row r="947" spans="4:4" x14ac:dyDescent="0.35">
      <c r="D947" s="13"/>
    </row>
    <row r="948" spans="4:4" x14ac:dyDescent="0.35">
      <c r="D948" s="13"/>
    </row>
    <row r="949" spans="4:4" x14ac:dyDescent="0.35">
      <c r="D949" s="13"/>
    </row>
    <row r="950" spans="4:4" x14ac:dyDescent="0.35">
      <c r="D950" s="13"/>
    </row>
    <row r="951" spans="4:4" x14ac:dyDescent="0.35">
      <c r="D951" s="13"/>
    </row>
    <row r="952" spans="4:4" x14ac:dyDescent="0.35">
      <c r="D952" s="13"/>
    </row>
    <row r="953" spans="4:4" x14ac:dyDescent="0.35">
      <c r="D953" s="13"/>
    </row>
    <row r="954" spans="4:4" x14ac:dyDescent="0.35">
      <c r="D954" s="13"/>
    </row>
    <row r="955" spans="4:4" x14ac:dyDescent="0.35">
      <c r="D955" s="13"/>
    </row>
    <row r="956" spans="4:4" x14ac:dyDescent="0.35">
      <c r="D956" s="13"/>
    </row>
    <row r="957" spans="4:4" x14ac:dyDescent="0.35">
      <c r="D957" s="13"/>
    </row>
    <row r="958" spans="4:4" x14ac:dyDescent="0.35">
      <c r="D958" s="13"/>
    </row>
    <row r="959" spans="4:4" x14ac:dyDescent="0.35">
      <c r="D959" s="13"/>
    </row>
    <row r="960" spans="4:4" x14ac:dyDescent="0.35">
      <c r="D960" s="13"/>
    </row>
    <row r="961" spans="4:4" x14ac:dyDescent="0.35">
      <c r="D961" s="13"/>
    </row>
    <row r="962" spans="4:4" x14ac:dyDescent="0.35">
      <c r="D962" s="13"/>
    </row>
    <row r="963" spans="4:4" x14ac:dyDescent="0.35">
      <c r="D963" s="13"/>
    </row>
    <row r="964" spans="4:4" x14ac:dyDescent="0.35">
      <c r="D964" s="13"/>
    </row>
    <row r="965" spans="4:4" x14ac:dyDescent="0.35">
      <c r="D965" s="13"/>
    </row>
    <row r="966" spans="4:4" x14ac:dyDescent="0.35">
      <c r="D966" s="13"/>
    </row>
    <row r="967" spans="4:4" x14ac:dyDescent="0.35">
      <c r="D967" s="13"/>
    </row>
    <row r="968" spans="4:4" x14ac:dyDescent="0.35">
      <c r="D968" s="13"/>
    </row>
    <row r="969" spans="4:4" x14ac:dyDescent="0.35">
      <c r="D969" s="13"/>
    </row>
    <row r="970" spans="4:4" x14ac:dyDescent="0.35">
      <c r="D970" s="13"/>
    </row>
    <row r="971" spans="4:4" x14ac:dyDescent="0.35">
      <c r="D971" s="13"/>
    </row>
    <row r="972" spans="4:4" x14ac:dyDescent="0.35">
      <c r="D972" s="13"/>
    </row>
    <row r="973" spans="4:4" x14ac:dyDescent="0.35">
      <c r="D973" s="13"/>
    </row>
    <row r="974" spans="4:4" x14ac:dyDescent="0.35">
      <c r="D974" s="13"/>
    </row>
    <row r="975" spans="4:4" x14ac:dyDescent="0.35">
      <c r="D975" s="13"/>
    </row>
    <row r="976" spans="4:4" x14ac:dyDescent="0.35">
      <c r="D976" s="13"/>
    </row>
    <row r="977" spans="4:4" x14ac:dyDescent="0.35">
      <c r="D977" s="13"/>
    </row>
    <row r="978" spans="4:4" x14ac:dyDescent="0.35">
      <c r="D978" s="13"/>
    </row>
    <row r="979" spans="4:4" x14ac:dyDescent="0.35">
      <c r="D979" s="13"/>
    </row>
    <row r="980" spans="4:4" x14ac:dyDescent="0.35">
      <c r="D980" s="13"/>
    </row>
    <row r="981" spans="4:4" x14ac:dyDescent="0.35">
      <c r="D981" s="13"/>
    </row>
    <row r="982" spans="4:4" x14ac:dyDescent="0.35">
      <c r="D982" s="13"/>
    </row>
    <row r="983" spans="4:4" x14ac:dyDescent="0.35">
      <c r="D983" s="13"/>
    </row>
    <row r="984" spans="4:4" x14ac:dyDescent="0.35">
      <c r="D984" s="13"/>
    </row>
    <row r="985" spans="4:4" x14ac:dyDescent="0.35">
      <c r="D985" s="13"/>
    </row>
    <row r="986" spans="4:4" x14ac:dyDescent="0.35">
      <c r="D986" s="13"/>
    </row>
    <row r="987" spans="4:4" x14ac:dyDescent="0.35">
      <c r="D987" s="13"/>
    </row>
    <row r="988" spans="4:4" x14ac:dyDescent="0.35">
      <c r="D988" s="13"/>
    </row>
    <row r="989" spans="4:4" x14ac:dyDescent="0.35">
      <c r="D989" s="13"/>
    </row>
    <row r="990" spans="4:4" x14ac:dyDescent="0.35">
      <c r="D990" s="13"/>
    </row>
    <row r="991" spans="4:4" x14ac:dyDescent="0.35">
      <c r="D991" s="13"/>
    </row>
    <row r="992" spans="4:4" x14ac:dyDescent="0.35">
      <c r="D992" s="13"/>
    </row>
    <row r="993" spans="4:4" x14ac:dyDescent="0.35">
      <c r="D993" s="13"/>
    </row>
    <row r="994" spans="4:4" x14ac:dyDescent="0.35">
      <c r="D994" s="13"/>
    </row>
    <row r="995" spans="4:4" x14ac:dyDescent="0.35">
      <c r="D995" s="13"/>
    </row>
    <row r="996" spans="4:4" x14ac:dyDescent="0.35">
      <c r="D996" s="13"/>
    </row>
    <row r="997" spans="4:4" x14ac:dyDescent="0.35">
      <c r="D997" s="13"/>
    </row>
    <row r="998" spans="4:4" x14ac:dyDescent="0.35">
      <c r="D998" s="13"/>
    </row>
    <row r="999" spans="4:4" x14ac:dyDescent="0.35">
      <c r="D999" s="13"/>
    </row>
    <row r="1000" spans="4:4" x14ac:dyDescent="0.35">
      <c r="D1000" s="13"/>
    </row>
    <row r="1001" spans="4:4" x14ac:dyDescent="0.35">
      <c r="D1001" s="13"/>
    </row>
    <row r="1002" spans="4:4" x14ac:dyDescent="0.35">
      <c r="D1002" s="13"/>
    </row>
    <row r="1003" spans="4:4" x14ac:dyDescent="0.35">
      <c r="D1003" s="13"/>
    </row>
    <row r="1004" spans="4:4" x14ac:dyDescent="0.35">
      <c r="D1004" s="13"/>
    </row>
    <row r="1005" spans="4:4" x14ac:dyDescent="0.35">
      <c r="D1005" s="13"/>
    </row>
    <row r="1006" spans="4:4" x14ac:dyDescent="0.35">
      <c r="D1006" s="13"/>
    </row>
    <row r="1007" spans="4:4" x14ac:dyDescent="0.35">
      <c r="D1007" s="13"/>
    </row>
    <row r="1008" spans="4:4" x14ac:dyDescent="0.35">
      <c r="D1008" s="13"/>
    </row>
    <row r="1009" spans="4:4" x14ac:dyDescent="0.35">
      <c r="D1009" s="13"/>
    </row>
    <row r="1010" spans="4:4" x14ac:dyDescent="0.35">
      <c r="D1010" s="13"/>
    </row>
    <row r="1011" spans="4:4" x14ac:dyDescent="0.35">
      <c r="D1011" s="13"/>
    </row>
    <row r="1012" spans="4:4" x14ac:dyDescent="0.35">
      <c r="D1012" s="13"/>
    </row>
    <row r="1013" spans="4:4" x14ac:dyDescent="0.35">
      <c r="D1013" s="13"/>
    </row>
    <row r="1014" spans="4:4" x14ac:dyDescent="0.35">
      <c r="D1014" s="13"/>
    </row>
    <row r="1015" spans="4:4" x14ac:dyDescent="0.35">
      <c r="D1015" s="13"/>
    </row>
    <row r="1016" spans="4:4" x14ac:dyDescent="0.35">
      <c r="D1016" s="13"/>
    </row>
    <row r="1017" spans="4:4" x14ac:dyDescent="0.35">
      <c r="D1017" s="13"/>
    </row>
    <row r="1018" spans="4:4" x14ac:dyDescent="0.35">
      <c r="D1018" s="13"/>
    </row>
    <row r="1019" spans="4:4" x14ac:dyDescent="0.35">
      <c r="D1019" s="13"/>
    </row>
    <row r="1020" spans="4:4" x14ac:dyDescent="0.35">
      <c r="D1020" s="13"/>
    </row>
    <row r="1021" spans="4:4" x14ac:dyDescent="0.35">
      <c r="D1021" s="13"/>
    </row>
    <row r="1022" spans="4:4" x14ac:dyDescent="0.35">
      <c r="D1022" s="13"/>
    </row>
    <row r="1023" spans="4:4" x14ac:dyDescent="0.35">
      <c r="D1023" s="13"/>
    </row>
    <row r="1024" spans="4:4" x14ac:dyDescent="0.35">
      <c r="D1024" s="13"/>
    </row>
    <row r="1025" spans="4:4" x14ac:dyDescent="0.35">
      <c r="D1025" s="13"/>
    </row>
    <row r="1026" spans="4:4" x14ac:dyDescent="0.35">
      <c r="D1026" s="13"/>
    </row>
    <row r="1027" spans="4:4" x14ac:dyDescent="0.35">
      <c r="D1027" s="13"/>
    </row>
    <row r="1028" spans="4:4" x14ac:dyDescent="0.35">
      <c r="D1028" s="13"/>
    </row>
    <row r="1029" spans="4:4" x14ac:dyDescent="0.35">
      <c r="D1029" s="13"/>
    </row>
    <row r="1030" spans="4:4" x14ac:dyDescent="0.35">
      <c r="D1030" s="13"/>
    </row>
    <row r="1031" spans="4:4" x14ac:dyDescent="0.35">
      <c r="D1031" s="13"/>
    </row>
    <row r="1032" spans="4:4" x14ac:dyDescent="0.35">
      <c r="D1032" s="13"/>
    </row>
    <row r="1033" spans="4:4" x14ac:dyDescent="0.35">
      <c r="D1033" s="13"/>
    </row>
    <row r="1034" spans="4:4" x14ac:dyDescent="0.35">
      <c r="D1034" s="13"/>
    </row>
    <row r="1035" spans="4:4" x14ac:dyDescent="0.35">
      <c r="D1035" s="13"/>
    </row>
    <row r="1036" spans="4:4" x14ac:dyDescent="0.35">
      <c r="D1036" s="13"/>
    </row>
    <row r="1037" spans="4:4" x14ac:dyDescent="0.35">
      <c r="D1037" s="13"/>
    </row>
    <row r="1038" spans="4:4" x14ac:dyDescent="0.35">
      <c r="D1038" s="13"/>
    </row>
    <row r="1039" spans="4:4" x14ac:dyDescent="0.35">
      <c r="D1039" s="13"/>
    </row>
    <row r="1040" spans="4:4" x14ac:dyDescent="0.35">
      <c r="D1040" s="13"/>
    </row>
    <row r="1041" spans="4:4" x14ac:dyDescent="0.35">
      <c r="D1041" s="13"/>
    </row>
    <row r="1042" spans="4:4" x14ac:dyDescent="0.35">
      <c r="D1042" s="13"/>
    </row>
    <row r="1043" spans="4:4" x14ac:dyDescent="0.35">
      <c r="D1043" s="13"/>
    </row>
    <row r="1044" spans="4:4" x14ac:dyDescent="0.35">
      <c r="D1044" s="13"/>
    </row>
    <row r="1045" spans="4:4" x14ac:dyDescent="0.35">
      <c r="D1045" s="13"/>
    </row>
    <row r="1046" spans="4:4" x14ac:dyDescent="0.35">
      <c r="D1046" s="13"/>
    </row>
    <row r="1047" spans="4:4" x14ac:dyDescent="0.35">
      <c r="D1047" s="13"/>
    </row>
    <row r="1048" spans="4:4" x14ac:dyDescent="0.35">
      <c r="D1048" s="13"/>
    </row>
    <row r="1049" spans="4:4" x14ac:dyDescent="0.35">
      <c r="D1049" s="13"/>
    </row>
    <row r="1050" spans="4:4" x14ac:dyDescent="0.35">
      <c r="D1050" s="13"/>
    </row>
    <row r="1051" spans="4:4" x14ac:dyDescent="0.35">
      <c r="D1051" s="13"/>
    </row>
    <row r="1052" spans="4:4" x14ac:dyDescent="0.35">
      <c r="D1052" s="13"/>
    </row>
    <row r="1053" spans="4:4" x14ac:dyDescent="0.35">
      <c r="D1053" s="13"/>
    </row>
    <row r="1054" spans="4:4" x14ac:dyDescent="0.35">
      <c r="D1054" s="13"/>
    </row>
    <row r="1055" spans="4:4" x14ac:dyDescent="0.35">
      <c r="D1055" s="13"/>
    </row>
    <row r="1056" spans="4:4" x14ac:dyDescent="0.35">
      <c r="D1056" s="13"/>
    </row>
    <row r="1057" spans="4:4" x14ac:dyDescent="0.35">
      <c r="D1057" s="13"/>
    </row>
    <row r="1058" spans="4:4" x14ac:dyDescent="0.35">
      <c r="D1058" s="13"/>
    </row>
    <row r="1059" spans="4:4" x14ac:dyDescent="0.35">
      <c r="D1059" s="13"/>
    </row>
    <row r="1060" spans="4:4" x14ac:dyDescent="0.35">
      <c r="D1060" s="13"/>
    </row>
    <row r="1061" spans="4:4" x14ac:dyDescent="0.35">
      <c r="D1061" s="13"/>
    </row>
    <row r="1062" spans="4:4" x14ac:dyDescent="0.35">
      <c r="D1062" s="13"/>
    </row>
    <row r="1063" spans="4:4" x14ac:dyDescent="0.35">
      <c r="D1063" s="13"/>
    </row>
    <row r="1064" spans="4:4" x14ac:dyDescent="0.35">
      <c r="D1064" s="13"/>
    </row>
    <row r="1065" spans="4:4" x14ac:dyDescent="0.35">
      <c r="D1065" s="13"/>
    </row>
    <row r="1066" spans="4:4" x14ac:dyDescent="0.35">
      <c r="D1066" s="13"/>
    </row>
    <row r="1067" spans="4:4" x14ac:dyDescent="0.35">
      <c r="D1067" s="13"/>
    </row>
    <row r="1068" spans="4:4" x14ac:dyDescent="0.35">
      <c r="D1068" s="13"/>
    </row>
    <row r="1069" spans="4:4" x14ac:dyDescent="0.35">
      <c r="D1069" s="13"/>
    </row>
    <row r="1070" spans="4:4" x14ac:dyDescent="0.35">
      <c r="D1070" s="13"/>
    </row>
    <row r="1071" spans="4:4" x14ac:dyDescent="0.35">
      <c r="D1071" s="13"/>
    </row>
    <row r="1072" spans="4:4" x14ac:dyDescent="0.35">
      <c r="D1072" s="13"/>
    </row>
    <row r="1073" spans="4:4" x14ac:dyDescent="0.35">
      <c r="D1073" s="13"/>
    </row>
    <row r="1074" spans="4:4" x14ac:dyDescent="0.35">
      <c r="D1074" s="13"/>
    </row>
    <row r="1075" spans="4:4" x14ac:dyDescent="0.35">
      <c r="D1075" s="13"/>
    </row>
    <row r="1076" spans="4:4" x14ac:dyDescent="0.35">
      <c r="D1076" s="13"/>
    </row>
    <row r="1077" spans="4:4" x14ac:dyDescent="0.35">
      <c r="D1077" s="13"/>
    </row>
    <row r="1078" spans="4:4" x14ac:dyDescent="0.35">
      <c r="D1078" s="13"/>
    </row>
    <row r="1079" spans="4:4" x14ac:dyDescent="0.35">
      <c r="D1079" s="13"/>
    </row>
    <row r="1080" spans="4:4" x14ac:dyDescent="0.35">
      <c r="D1080" s="13"/>
    </row>
    <row r="1081" spans="4:4" x14ac:dyDescent="0.35">
      <c r="D1081" s="13"/>
    </row>
    <row r="1082" spans="4:4" x14ac:dyDescent="0.35">
      <c r="D1082" s="13"/>
    </row>
    <row r="1083" spans="4:4" x14ac:dyDescent="0.35">
      <c r="D1083" s="13"/>
    </row>
    <row r="1084" spans="4:4" x14ac:dyDescent="0.35">
      <c r="D1084" s="13"/>
    </row>
    <row r="1085" spans="4:4" x14ac:dyDescent="0.35">
      <c r="D1085" s="13"/>
    </row>
    <row r="1086" spans="4:4" x14ac:dyDescent="0.35">
      <c r="D1086" s="13"/>
    </row>
    <row r="1087" spans="4:4" x14ac:dyDescent="0.35">
      <c r="D1087" s="13"/>
    </row>
    <row r="1088" spans="4:4" x14ac:dyDescent="0.35">
      <c r="D1088" s="13"/>
    </row>
    <row r="1089" spans="4:4" x14ac:dyDescent="0.35">
      <c r="D1089" s="13"/>
    </row>
    <row r="1090" spans="4:4" x14ac:dyDescent="0.35">
      <c r="D1090" s="13"/>
    </row>
    <row r="1091" spans="4:4" x14ac:dyDescent="0.35">
      <c r="D1091" s="13"/>
    </row>
    <row r="1092" spans="4:4" x14ac:dyDescent="0.35">
      <c r="D1092" s="13"/>
    </row>
    <row r="1093" spans="4:4" x14ac:dyDescent="0.35">
      <c r="D1093" s="13"/>
    </row>
    <row r="1094" spans="4:4" x14ac:dyDescent="0.35">
      <c r="D1094" s="13"/>
    </row>
    <row r="1095" spans="4:4" x14ac:dyDescent="0.35">
      <c r="D1095" s="13"/>
    </row>
    <row r="1096" spans="4:4" x14ac:dyDescent="0.35">
      <c r="D1096" s="13"/>
    </row>
    <row r="1097" spans="4:4" x14ac:dyDescent="0.35">
      <c r="D1097" s="13"/>
    </row>
    <row r="1098" spans="4:4" x14ac:dyDescent="0.35">
      <c r="D1098" s="13"/>
    </row>
    <row r="1099" spans="4:4" x14ac:dyDescent="0.35">
      <c r="D1099" s="13"/>
    </row>
    <row r="1100" spans="4:4" x14ac:dyDescent="0.35">
      <c r="D1100" s="13"/>
    </row>
    <row r="1101" spans="4:4" x14ac:dyDescent="0.35">
      <c r="D1101" s="13"/>
    </row>
    <row r="1102" spans="4:4" x14ac:dyDescent="0.35">
      <c r="D1102" s="13"/>
    </row>
    <row r="1103" spans="4:4" x14ac:dyDescent="0.35">
      <c r="D1103" s="13"/>
    </row>
    <row r="1104" spans="4:4" x14ac:dyDescent="0.35">
      <c r="D1104" s="13"/>
    </row>
    <row r="1105" spans="4:4" x14ac:dyDescent="0.35">
      <c r="D1105" s="13"/>
    </row>
    <row r="1106" spans="4:4" x14ac:dyDescent="0.35">
      <c r="D1106" s="13"/>
    </row>
    <row r="1107" spans="4:4" x14ac:dyDescent="0.35">
      <c r="D1107" s="13"/>
    </row>
    <row r="1108" spans="4:4" x14ac:dyDescent="0.35">
      <c r="D1108" s="13"/>
    </row>
    <row r="1109" spans="4:4" x14ac:dyDescent="0.35">
      <c r="D1109" s="13"/>
    </row>
    <row r="1110" spans="4:4" x14ac:dyDescent="0.35">
      <c r="D1110" s="13"/>
    </row>
    <row r="1111" spans="4:4" x14ac:dyDescent="0.35">
      <c r="D1111" s="13"/>
    </row>
    <row r="1112" spans="4:4" x14ac:dyDescent="0.35">
      <c r="D1112" s="13"/>
    </row>
    <row r="1113" spans="4:4" x14ac:dyDescent="0.35">
      <c r="D1113" s="13"/>
    </row>
    <row r="1114" spans="4:4" x14ac:dyDescent="0.35">
      <c r="D1114" s="13"/>
    </row>
    <row r="1115" spans="4:4" x14ac:dyDescent="0.35">
      <c r="D1115" s="13"/>
    </row>
    <row r="1116" spans="4:4" x14ac:dyDescent="0.35">
      <c r="D1116" s="13"/>
    </row>
    <row r="1117" spans="4:4" x14ac:dyDescent="0.35">
      <c r="D1117" s="13"/>
    </row>
    <row r="1118" spans="4:4" x14ac:dyDescent="0.35">
      <c r="D1118" s="13"/>
    </row>
    <row r="1119" spans="4:4" x14ac:dyDescent="0.35">
      <c r="D1119" s="13"/>
    </row>
    <row r="1120" spans="4:4" x14ac:dyDescent="0.35">
      <c r="D1120" s="13"/>
    </row>
    <row r="1121" spans="4:4" x14ac:dyDescent="0.35">
      <c r="D1121" s="13"/>
    </row>
    <row r="1122" spans="4:4" x14ac:dyDescent="0.35">
      <c r="D1122" s="13"/>
    </row>
    <row r="1123" spans="4:4" x14ac:dyDescent="0.35">
      <c r="D1123" s="13"/>
    </row>
    <row r="1124" spans="4:4" x14ac:dyDescent="0.35">
      <c r="D1124" s="13"/>
    </row>
    <row r="1125" spans="4:4" x14ac:dyDescent="0.35">
      <c r="D1125" s="13"/>
    </row>
    <row r="1126" spans="4:4" x14ac:dyDescent="0.35">
      <c r="D1126" s="13"/>
    </row>
    <row r="1127" spans="4:4" x14ac:dyDescent="0.35">
      <c r="D1127" s="13"/>
    </row>
    <row r="1128" spans="4:4" x14ac:dyDescent="0.35">
      <c r="D1128" s="13"/>
    </row>
    <row r="1129" spans="4:4" x14ac:dyDescent="0.35">
      <c r="D1129" s="13"/>
    </row>
    <row r="1130" spans="4:4" x14ac:dyDescent="0.35">
      <c r="D1130" s="13"/>
    </row>
    <row r="1131" spans="4:4" x14ac:dyDescent="0.35">
      <c r="D1131" s="13"/>
    </row>
    <row r="1132" spans="4:4" x14ac:dyDescent="0.35">
      <c r="D1132" s="13"/>
    </row>
    <row r="1133" spans="4:4" x14ac:dyDescent="0.35">
      <c r="D1133" s="13"/>
    </row>
    <row r="1134" spans="4:4" x14ac:dyDescent="0.35">
      <c r="D1134" s="13"/>
    </row>
    <row r="1135" spans="4:4" x14ac:dyDescent="0.35">
      <c r="D1135" s="13"/>
    </row>
    <row r="1136" spans="4:4" x14ac:dyDescent="0.35">
      <c r="D1136" s="13"/>
    </row>
    <row r="1137" spans="4:4" x14ac:dyDescent="0.35">
      <c r="D1137" s="13"/>
    </row>
    <row r="1138" spans="4:4" x14ac:dyDescent="0.35">
      <c r="D1138" s="13"/>
    </row>
    <row r="1139" spans="4:4" x14ac:dyDescent="0.35">
      <c r="D1139" s="13"/>
    </row>
    <row r="1140" spans="4:4" x14ac:dyDescent="0.35">
      <c r="D1140" s="13"/>
    </row>
    <row r="1141" spans="4:4" x14ac:dyDescent="0.35">
      <c r="D1141" s="13"/>
    </row>
    <row r="1142" spans="4:4" x14ac:dyDescent="0.35">
      <c r="D1142" s="13"/>
    </row>
    <row r="1143" spans="4:4" x14ac:dyDescent="0.35">
      <c r="D1143" s="13"/>
    </row>
    <row r="1144" spans="4:4" x14ac:dyDescent="0.35">
      <c r="D1144" s="13"/>
    </row>
    <row r="1145" spans="4:4" x14ac:dyDescent="0.35">
      <c r="D1145" s="13"/>
    </row>
    <row r="1146" spans="4:4" x14ac:dyDescent="0.35">
      <c r="D1146" s="13"/>
    </row>
    <row r="1147" spans="4:4" x14ac:dyDescent="0.35">
      <c r="D1147" s="13"/>
    </row>
    <row r="1148" spans="4:4" x14ac:dyDescent="0.35">
      <c r="D1148" s="13"/>
    </row>
    <row r="1149" spans="4:4" x14ac:dyDescent="0.35">
      <c r="D1149" s="13"/>
    </row>
    <row r="1150" spans="4:4" x14ac:dyDescent="0.35">
      <c r="D1150" s="13"/>
    </row>
    <row r="1151" spans="4:4" x14ac:dyDescent="0.35">
      <c r="D1151" s="13"/>
    </row>
    <row r="1152" spans="4:4" x14ac:dyDescent="0.35">
      <c r="D1152" s="13"/>
    </row>
    <row r="1153" spans="4:4" x14ac:dyDescent="0.35">
      <c r="D1153" s="13"/>
    </row>
    <row r="1154" spans="4:4" x14ac:dyDescent="0.35">
      <c r="D1154" s="13"/>
    </row>
    <row r="1155" spans="4:4" x14ac:dyDescent="0.35">
      <c r="D1155" s="13"/>
    </row>
    <row r="1156" spans="4:4" x14ac:dyDescent="0.35">
      <c r="D1156" s="13"/>
    </row>
    <row r="1157" spans="4:4" x14ac:dyDescent="0.35">
      <c r="D1157" s="13"/>
    </row>
    <row r="1158" spans="4:4" x14ac:dyDescent="0.35">
      <c r="D1158" s="13"/>
    </row>
    <row r="1159" spans="4:4" x14ac:dyDescent="0.35">
      <c r="D1159" s="13"/>
    </row>
    <row r="1160" spans="4:4" x14ac:dyDescent="0.35">
      <c r="D1160" s="13"/>
    </row>
    <row r="1161" spans="4:4" x14ac:dyDescent="0.35">
      <c r="D1161" s="13"/>
    </row>
    <row r="1162" spans="4:4" x14ac:dyDescent="0.35">
      <c r="D1162" s="13"/>
    </row>
    <row r="1163" spans="4:4" x14ac:dyDescent="0.35">
      <c r="D1163" s="13"/>
    </row>
    <row r="1164" spans="4:4" x14ac:dyDescent="0.35">
      <c r="D1164" s="13"/>
    </row>
    <row r="1165" spans="4:4" x14ac:dyDescent="0.35">
      <c r="D1165" s="13"/>
    </row>
    <row r="1166" spans="4:4" x14ac:dyDescent="0.35">
      <c r="D1166" s="13"/>
    </row>
    <row r="1167" spans="4:4" x14ac:dyDescent="0.35">
      <c r="D1167" s="13"/>
    </row>
    <row r="1168" spans="4:4" x14ac:dyDescent="0.35">
      <c r="D1168" s="13"/>
    </row>
    <row r="1169" spans="4:4" x14ac:dyDescent="0.35">
      <c r="D1169" s="13"/>
    </row>
    <row r="1170" spans="4:4" x14ac:dyDescent="0.35">
      <c r="D1170" s="13"/>
    </row>
    <row r="1171" spans="4:4" x14ac:dyDescent="0.35">
      <c r="D1171" s="13"/>
    </row>
    <row r="1172" spans="4:4" x14ac:dyDescent="0.35">
      <c r="D1172" s="13"/>
    </row>
    <row r="1173" spans="4:4" x14ac:dyDescent="0.35">
      <c r="D1173" s="13"/>
    </row>
    <row r="1174" spans="4:4" x14ac:dyDescent="0.35">
      <c r="D1174" s="13"/>
    </row>
    <row r="1175" spans="4:4" x14ac:dyDescent="0.35">
      <c r="D1175" s="13"/>
    </row>
    <row r="1176" spans="4:4" x14ac:dyDescent="0.35">
      <c r="D1176" s="13"/>
    </row>
    <row r="1177" spans="4:4" x14ac:dyDescent="0.35">
      <c r="D1177" s="13"/>
    </row>
    <row r="1178" spans="4:4" x14ac:dyDescent="0.35">
      <c r="D1178" s="13"/>
    </row>
    <row r="1179" spans="4:4" x14ac:dyDescent="0.35">
      <c r="D1179" s="13"/>
    </row>
    <row r="1180" spans="4:4" x14ac:dyDescent="0.35">
      <c r="D1180" s="13"/>
    </row>
    <row r="1181" spans="4:4" x14ac:dyDescent="0.35">
      <c r="D1181" s="13"/>
    </row>
    <row r="1182" spans="4:4" x14ac:dyDescent="0.35">
      <c r="D1182" s="13"/>
    </row>
    <row r="1183" spans="4:4" x14ac:dyDescent="0.35">
      <c r="D1183" s="13"/>
    </row>
    <row r="1184" spans="4:4" x14ac:dyDescent="0.35">
      <c r="D1184" s="13"/>
    </row>
    <row r="1185" spans="4:4" x14ac:dyDescent="0.35">
      <c r="D1185" s="13"/>
    </row>
    <row r="1186" spans="4:4" x14ac:dyDescent="0.35">
      <c r="D1186" s="13"/>
    </row>
    <row r="1187" spans="4:4" x14ac:dyDescent="0.35">
      <c r="D1187" s="13"/>
    </row>
    <row r="1188" spans="4:4" x14ac:dyDescent="0.35">
      <c r="D1188" s="13"/>
    </row>
    <row r="1189" spans="4:4" x14ac:dyDescent="0.35">
      <c r="D1189" s="13"/>
    </row>
    <row r="1190" spans="4:4" x14ac:dyDescent="0.35">
      <c r="D1190" s="13"/>
    </row>
    <row r="1191" spans="4:4" x14ac:dyDescent="0.35">
      <c r="D1191" s="13"/>
    </row>
    <row r="1192" spans="4:4" x14ac:dyDescent="0.35">
      <c r="D1192" s="13"/>
    </row>
    <row r="1193" spans="4:4" x14ac:dyDescent="0.35">
      <c r="D1193" s="13"/>
    </row>
    <row r="1194" spans="4:4" x14ac:dyDescent="0.35">
      <c r="D1194" s="13"/>
    </row>
    <row r="1195" spans="4:4" x14ac:dyDescent="0.35">
      <c r="D1195" s="13"/>
    </row>
    <row r="1196" spans="4:4" x14ac:dyDescent="0.35">
      <c r="D1196" s="13"/>
    </row>
    <row r="1197" spans="4:4" x14ac:dyDescent="0.35">
      <c r="D1197" s="13"/>
    </row>
    <row r="1198" spans="4:4" x14ac:dyDescent="0.35">
      <c r="D1198" s="13"/>
    </row>
    <row r="1199" spans="4:4" x14ac:dyDescent="0.35">
      <c r="D1199" s="13"/>
    </row>
    <row r="1200" spans="4:4" x14ac:dyDescent="0.35">
      <c r="D1200" s="13"/>
    </row>
    <row r="1201" spans="4:4" x14ac:dyDescent="0.35">
      <c r="D1201" s="13"/>
    </row>
    <row r="1202" spans="4:4" x14ac:dyDescent="0.35">
      <c r="D1202" s="13"/>
    </row>
    <row r="1203" spans="4:4" x14ac:dyDescent="0.35">
      <c r="D1203" s="13"/>
    </row>
    <row r="1204" spans="4:4" x14ac:dyDescent="0.35">
      <c r="D1204" s="13"/>
    </row>
    <row r="1205" spans="4:4" x14ac:dyDescent="0.35">
      <c r="D1205" s="13"/>
    </row>
    <row r="1206" spans="4:4" x14ac:dyDescent="0.35">
      <c r="D1206" s="13"/>
    </row>
    <row r="1207" spans="4:4" x14ac:dyDescent="0.35">
      <c r="D1207" s="13"/>
    </row>
    <row r="1208" spans="4:4" x14ac:dyDescent="0.35">
      <c r="D1208" s="13"/>
    </row>
    <row r="1209" spans="4:4" x14ac:dyDescent="0.35">
      <c r="D1209" s="13"/>
    </row>
    <row r="1210" spans="4:4" x14ac:dyDescent="0.35">
      <c r="D1210" s="13"/>
    </row>
    <row r="1211" spans="4:4" x14ac:dyDescent="0.35">
      <c r="D1211" s="13"/>
    </row>
    <row r="1212" spans="4:4" x14ac:dyDescent="0.35">
      <c r="D1212" s="13"/>
    </row>
    <row r="1213" spans="4:4" x14ac:dyDescent="0.35">
      <c r="D1213" s="13"/>
    </row>
    <row r="1214" spans="4:4" x14ac:dyDescent="0.35">
      <c r="D1214" s="13"/>
    </row>
    <row r="1215" spans="4:4" x14ac:dyDescent="0.35">
      <c r="D1215" s="13"/>
    </row>
    <row r="1216" spans="4:4" x14ac:dyDescent="0.35">
      <c r="D1216" s="13"/>
    </row>
    <row r="1217" spans="4:4" x14ac:dyDescent="0.35">
      <c r="D1217" s="13"/>
    </row>
    <row r="1218" spans="4:4" x14ac:dyDescent="0.35">
      <c r="D1218" s="13"/>
    </row>
    <row r="1219" spans="4:4" x14ac:dyDescent="0.35">
      <c r="D1219" s="13"/>
    </row>
    <row r="1220" spans="4:4" x14ac:dyDescent="0.35">
      <c r="D1220" s="13"/>
    </row>
    <row r="1221" spans="4:4" x14ac:dyDescent="0.35">
      <c r="D1221" s="13"/>
    </row>
    <row r="1222" spans="4:4" x14ac:dyDescent="0.35">
      <c r="D1222" s="13"/>
    </row>
    <row r="1223" spans="4:4" x14ac:dyDescent="0.35">
      <c r="D1223" s="13"/>
    </row>
    <row r="1224" spans="4:4" x14ac:dyDescent="0.35">
      <c r="D1224" s="13"/>
    </row>
    <row r="1225" spans="4:4" x14ac:dyDescent="0.35">
      <c r="D1225" s="13"/>
    </row>
    <row r="1226" spans="4:4" x14ac:dyDescent="0.35">
      <c r="D1226" s="13"/>
    </row>
    <row r="1227" spans="4:4" x14ac:dyDescent="0.35">
      <c r="D1227" s="13"/>
    </row>
    <row r="1228" spans="4:4" x14ac:dyDescent="0.35">
      <c r="D1228" s="13"/>
    </row>
    <row r="1229" spans="4:4" x14ac:dyDescent="0.35">
      <c r="D1229" s="13"/>
    </row>
    <row r="1230" spans="4:4" x14ac:dyDescent="0.35">
      <c r="D1230" s="13"/>
    </row>
    <row r="1231" spans="4:4" x14ac:dyDescent="0.35">
      <c r="D1231" s="13"/>
    </row>
    <row r="1232" spans="4:4" x14ac:dyDescent="0.35">
      <c r="D1232" s="13"/>
    </row>
    <row r="1233" spans="4:4" x14ac:dyDescent="0.35">
      <c r="D1233" s="13"/>
    </row>
    <row r="1234" spans="4:4" x14ac:dyDescent="0.35">
      <c r="D1234" s="13"/>
    </row>
    <row r="1235" spans="4:4" x14ac:dyDescent="0.35">
      <c r="D1235" s="13"/>
    </row>
    <row r="1236" spans="4:4" x14ac:dyDescent="0.35">
      <c r="D1236" s="13"/>
    </row>
    <row r="1237" spans="4:4" x14ac:dyDescent="0.35">
      <c r="D1237" s="13"/>
    </row>
    <row r="1238" spans="4:4" x14ac:dyDescent="0.35">
      <c r="D1238" s="13"/>
    </row>
    <row r="1239" spans="4:4" x14ac:dyDescent="0.35">
      <c r="D1239" s="13"/>
    </row>
    <row r="1240" spans="4:4" x14ac:dyDescent="0.35">
      <c r="D1240" s="13"/>
    </row>
    <row r="1241" spans="4:4" x14ac:dyDescent="0.35">
      <c r="D1241" s="13"/>
    </row>
    <row r="1242" spans="4:4" x14ac:dyDescent="0.35">
      <c r="D1242" s="13"/>
    </row>
    <row r="1243" spans="4:4" x14ac:dyDescent="0.35">
      <c r="D1243" s="13"/>
    </row>
    <row r="1244" spans="4:4" x14ac:dyDescent="0.35">
      <c r="D1244" s="13"/>
    </row>
    <row r="1245" spans="4:4" x14ac:dyDescent="0.35">
      <c r="D1245" s="13"/>
    </row>
    <row r="1246" spans="4:4" x14ac:dyDescent="0.35">
      <c r="D1246" s="13"/>
    </row>
    <row r="1247" spans="4:4" x14ac:dyDescent="0.35">
      <c r="D1247" s="13"/>
    </row>
    <row r="1248" spans="4:4" x14ac:dyDescent="0.35">
      <c r="D1248" s="13"/>
    </row>
    <row r="1249" spans="4:4" x14ac:dyDescent="0.35">
      <c r="D1249" s="13"/>
    </row>
    <row r="1250" spans="4:4" x14ac:dyDescent="0.35">
      <c r="D1250" s="13"/>
    </row>
    <row r="1251" spans="4:4" x14ac:dyDescent="0.35">
      <c r="D1251" s="13"/>
    </row>
    <row r="1252" spans="4:4" x14ac:dyDescent="0.35">
      <c r="D1252" s="13"/>
    </row>
    <row r="1253" spans="4:4" x14ac:dyDescent="0.35">
      <c r="D1253" s="13"/>
    </row>
    <row r="1254" spans="4:4" x14ac:dyDescent="0.35">
      <c r="D1254" s="13"/>
    </row>
    <row r="1255" spans="4:4" x14ac:dyDescent="0.35">
      <c r="D1255" s="13"/>
    </row>
    <row r="1256" spans="4:4" x14ac:dyDescent="0.35">
      <c r="D1256" s="13"/>
    </row>
    <row r="1257" spans="4:4" x14ac:dyDescent="0.35">
      <c r="D1257" s="13"/>
    </row>
    <row r="1258" spans="4:4" x14ac:dyDescent="0.35">
      <c r="D1258" s="13"/>
    </row>
    <row r="1259" spans="4:4" x14ac:dyDescent="0.35">
      <c r="D1259" s="13"/>
    </row>
    <row r="1260" spans="4:4" x14ac:dyDescent="0.35">
      <c r="D1260" s="13"/>
    </row>
    <row r="1261" spans="4:4" x14ac:dyDescent="0.35">
      <c r="D1261" s="13"/>
    </row>
    <row r="1262" spans="4:4" x14ac:dyDescent="0.35">
      <c r="D1262" s="13"/>
    </row>
    <row r="1263" spans="4:4" x14ac:dyDescent="0.35">
      <c r="D1263" s="13"/>
    </row>
    <row r="1264" spans="4:4" x14ac:dyDescent="0.35">
      <c r="D1264" s="13"/>
    </row>
    <row r="1265" spans="4:4" x14ac:dyDescent="0.35">
      <c r="D1265" s="13"/>
    </row>
    <row r="1266" spans="4:4" x14ac:dyDescent="0.35">
      <c r="D1266" s="13"/>
    </row>
    <row r="1267" spans="4:4" x14ac:dyDescent="0.35">
      <c r="D1267" s="13"/>
    </row>
    <row r="1268" spans="4:4" x14ac:dyDescent="0.35">
      <c r="D1268" s="13"/>
    </row>
    <row r="1269" spans="4:4" x14ac:dyDescent="0.35">
      <c r="D1269" s="13"/>
    </row>
    <row r="1270" spans="4:4" x14ac:dyDescent="0.35">
      <c r="D1270" s="13"/>
    </row>
    <row r="1271" spans="4:4" x14ac:dyDescent="0.35">
      <c r="D1271" s="13"/>
    </row>
    <row r="1272" spans="4:4" x14ac:dyDescent="0.35">
      <c r="D1272" s="13"/>
    </row>
    <row r="1273" spans="4:4" x14ac:dyDescent="0.35">
      <c r="D1273" s="13"/>
    </row>
    <row r="1274" spans="4:4" x14ac:dyDescent="0.35">
      <c r="D1274" s="13"/>
    </row>
    <row r="1275" spans="4:4" x14ac:dyDescent="0.35">
      <c r="D1275" s="13"/>
    </row>
    <row r="1276" spans="4:4" x14ac:dyDescent="0.35">
      <c r="D1276" s="13"/>
    </row>
    <row r="1277" spans="4:4" x14ac:dyDescent="0.35">
      <c r="D1277" s="13"/>
    </row>
    <row r="1278" spans="4:4" x14ac:dyDescent="0.35">
      <c r="D1278" s="13"/>
    </row>
    <row r="1279" spans="4:4" x14ac:dyDescent="0.35">
      <c r="D1279" s="13"/>
    </row>
    <row r="1280" spans="4:4" x14ac:dyDescent="0.35">
      <c r="D1280" s="13"/>
    </row>
    <row r="1281" spans="4:4" x14ac:dyDescent="0.35">
      <c r="D1281" s="13"/>
    </row>
    <row r="1282" spans="4:4" x14ac:dyDescent="0.35">
      <c r="D1282" s="13"/>
    </row>
    <row r="1283" spans="4:4" x14ac:dyDescent="0.35">
      <c r="D1283" s="13"/>
    </row>
    <row r="1284" spans="4:4" x14ac:dyDescent="0.35">
      <c r="D1284" s="13"/>
    </row>
    <row r="1285" spans="4:4" x14ac:dyDescent="0.35">
      <c r="D1285" s="13"/>
    </row>
    <row r="1286" spans="4:4" x14ac:dyDescent="0.35">
      <c r="D1286" s="13"/>
    </row>
    <row r="1287" spans="4:4" x14ac:dyDescent="0.35">
      <c r="D1287" s="13"/>
    </row>
    <row r="1288" spans="4:4" x14ac:dyDescent="0.35">
      <c r="D1288" s="13"/>
    </row>
    <row r="1289" spans="4:4" x14ac:dyDescent="0.35">
      <c r="D1289" s="13"/>
    </row>
    <row r="1290" spans="4:4" x14ac:dyDescent="0.35">
      <c r="D1290" s="13"/>
    </row>
    <row r="1291" spans="4:4" x14ac:dyDescent="0.35">
      <c r="D1291" s="13"/>
    </row>
    <row r="1292" spans="4:4" x14ac:dyDescent="0.35">
      <c r="D1292" s="13"/>
    </row>
    <row r="1293" spans="4:4" x14ac:dyDescent="0.35">
      <c r="D1293" s="13"/>
    </row>
    <row r="1294" spans="4:4" x14ac:dyDescent="0.35">
      <c r="D1294" s="13"/>
    </row>
    <row r="1295" spans="4:4" x14ac:dyDescent="0.35">
      <c r="D1295" s="13"/>
    </row>
    <row r="1296" spans="4:4" x14ac:dyDescent="0.35">
      <c r="D1296" s="13"/>
    </row>
    <row r="1297" spans="4:4" x14ac:dyDescent="0.35">
      <c r="D1297" s="13"/>
    </row>
    <row r="1298" spans="4:4" x14ac:dyDescent="0.35">
      <c r="D1298" s="13"/>
    </row>
    <row r="1299" spans="4:4" x14ac:dyDescent="0.35">
      <c r="D1299" s="13"/>
    </row>
    <row r="1300" spans="4:4" x14ac:dyDescent="0.35">
      <c r="D1300" s="13"/>
    </row>
    <row r="1301" spans="4:4" x14ac:dyDescent="0.35">
      <c r="D1301" s="13"/>
    </row>
    <row r="1302" spans="4:4" x14ac:dyDescent="0.35">
      <c r="D1302" s="13"/>
    </row>
    <row r="1303" spans="4:4" x14ac:dyDescent="0.35">
      <c r="D1303" s="13"/>
    </row>
    <row r="1304" spans="4:4" x14ac:dyDescent="0.35">
      <c r="D1304" s="13"/>
    </row>
    <row r="1305" spans="4:4" x14ac:dyDescent="0.35">
      <c r="D1305" s="13"/>
    </row>
    <row r="1306" spans="4:4" x14ac:dyDescent="0.35">
      <c r="D1306" s="13"/>
    </row>
    <row r="1307" spans="4:4" x14ac:dyDescent="0.35">
      <c r="D1307" s="13"/>
    </row>
    <row r="1308" spans="4:4" x14ac:dyDescent="0.35">
      <c r="D1308" s="13"/>
    </row>
    <row r="1309" spans="4:4" x14ac:dyDescent="0.35">
      <c r="D1309" s="13"/>
    </row>
    <row r="1310" spans="4:4" x14ac:dyDescent="0.35">
      <c r="D1310" s="13"/>
    </row>
    <row r="1311" spans="4:4" x14ac:dyDescent="0.35">
      <c r="D1311" s="13"/>
    </row>
    <row r="1312" spans="4:4" x14ac:dyDescent="0.35">
      <c r="D1312" s="13"/>
    </row>
    <row r="1313" spans="4:4" x14ac:dyDescent="0.35">
      <c r="D1313" s="13"/>
    </row>
    <row r="1314" spans="4:4" x14ac:dyDescent="0.35">
      <c r="D1314" s="13"/>
    </row>
    <row r="1315" spans="4:4" x14ac:dyDescent="0.35">
      <c r="D1315" s="13"/>
    </row>
    <row r="1316" spans="4:4" x14ac:dyDescent="0.35">
      <c r="D1316" s="13"/>
    </row>
    <row r="1317" spans="4:4" x14ac:dyDescent="0.35">
      <c r="D1317" s="13"/>
    </row>
    <row r="1318" spans="4:4" x14ac:dyDescent="0.35">
      <c r="D1318" s="13"/>
    </row>
    <row r="1319" spans="4:4" x14ac:dyDescent="0.35">
      <c r="D1319" s="13"/>
    </row>
    <row r="1320" spans="4:4" x14ac:dyDescent="0.35">
      <c r="D1320" s="13"/>
    </row>
    <row r="1321" spans="4:4" x14ac:dyDescent="0.35">
      <c r="D1321" s="13"/>
    </row>
    <row r="1322" spans="4:4" x14ac:dyDescent="0.35">
      <c r="D1322" s="13"/>
    </row>
    <row r="1323" spans="4:4" x14ac:dyDescent="0.35">
      <c r="D1323" s="13"/>
    </row>
    <row r="1324" spans="4:4" x14ac:dyDescent="0.35">
      <c r="D1324" s="13"/>
    </row>
    <row r="1325" spans="4:4" x14ac:dyDescent="0.35">
      <c r="D1325" s="13"/>
    </row>
    <row r="1326" spans="4:4" x14ac:dyDescent="0.35">
      <c r="D1326" s="13"/>
    </row>
    <row r="1327" spans="4:4" x14ac:dyDescent="0.35">
      <c r="D1327" s="13"/>
    </row>
    <row r="1328" spans="4:4" x14ac:dyDescent="0.35">
      <c r="D1328" s="13"/>
    </row>
    <row r="1329" spans="4:4" x14ac:dyDescent="0.35">
      <c r="D1329" s="13"/>
    </row>
    <row r="1330" spans="4:4" x14ac:dyDescent="0.35">
      <c r="D1330" s="13"/>
    </row>
    <row r="1331" spans="4:4" x14ac:dyDescent="0.35">
      <c r="D1331" s="13"/>
    </row>
    <row r="1332" spans="4:4" x14ac:dyDescent="0.35">
      <c r="D1332" s="13"/>
    </row>
    <row r="1333" spans="4:4" x14ac:dyDescent="0.35">
      <c r="D1333" s="13"/>
    </row>
    <row r="1334" spans="4:4" x14ac:dyDescent="0.35">
      <c r="D1334" s="13"/>
    </row>
    <row r="1335" spans="4:4" x14ac:dyDescent="0.35">
      <c r="D1335" s="13"/>
    </row>
    <row r="1336" spans="4:4" x14ac:dyDescent="0.35">
      <c r="D1336" s="13"/>
    </row>
    <row r="1337" spans="4:4" x14ac:dyDescent="0.35">
      <c r="D1337" s="13"/>
    </row>
    <row r="1338" spans="4:4" x14ac:dyDescent="0.35">
      <c r="D1338" s="13"/>
    </row>
    <row r="1339" spans="4:4" x14ac:dyDescent="0.35">
      <c r="D1339" s="13"/>
    </row>
    <row r="1340" spans="4:4" x14ac:dyDescent="0.35">
      <c r="D1340" s="13"/>
    </row>
    <row r="1341" spans="4:4" x14ac:dyDescent="0.35">
      <c r="D1341" s="13"/>
    </row>
    <row r="1342" spans="4:4" x14ac:dyDescent="0.35">
      <c r="D1342" s="13"/>
    </row>
    <row r="1343" spans="4:4" x14ac:dyDescent="0.35">
      <c r="D1343" s="13"/>
    </row>
    <row r="1344" spans="4:4" x14ac:dyDescent="0.35">
      <c r="D1344" s="13"/>
    </row>
    <row r="1345" spans="4:4" x14ac:dyDescent="0.35">
      <c r="D1345" s="13"/>
    </row>
    <row r="1346" spans="4:4" x14ac:dyDescent="0.35">
      <c r="D1346" s="13"/>
    </row>
    <row r="1347" spans="4:4" x14ac:dyDescent="0.35">
      <c r="D1347" s="13"/>
    </row>
    <row r="1348" spans="4:4" x14ac:dyDescent="0.35">
      <c r="D1348" s="13"/>
    </row>
    <row r="1349" spans="4:4" x14ac:dyDescent="0.35">
      <c r="D1349" s="13"/>
    </row>
    <row r="1350" spans="4:4" x14ac:dyDescent="0.35">
      <c r="D1350" s="13"/>
    </row>
    <row r="1351" spans="4:4" x14ac:dyDescent="0.35">
      <c r="D1351" s="13"/>
    </row>
    <row r="1352" spans="4:4" x14ac:dyDescent="0.35">
      <c r="D1352" s="13"/>
    </row>
    <row r="1353" spans="4:4" x14ac:dyDescent="0.35">
      <c r="D1353" s="13"/>
    </row>
    <row r="1354" spans="4:4" x14ac:dyDescent="0.35">
      <c r="D1354" s="13"/>
    </row>
    <row r="1355" spans="4:4" x14ac:dyDescent="0.35">
      <c r="D1355" s="13"/>
    </row>
    <row r="1356" spans="4:4" x14ac:dyDescent="0.35">
      <c r="D1356" s="13"/>
    </row>
    <row r="1357" spans="4:4" x14ac:dyDescent="0.35">
      <c r="D1357" s="13"/>
    </row>
    <row r="1358" spans="4:4" x14ac:dyDescent="0.35">
      <c r="D1358" s="13"/>
    </row>
    <row r="1359" spans="4:4" x14ac:dyDescent="0.35">
      <c r="D1359" s="13"/>
    </row>
    <row r="1360" spans="4:4" x14ac:dyDescent="0.35">
      <c r="D1360" s="13"/>
    </row>
    <row r="1361" spans="4:4" x14ac:dyDescent="0.35">
      <c r="D1361" s="13"/>
    </row>
    <row r="1362" spans="4:4" x14ac:dyDescent="0.35">
      <c r="D1362" s="13"/>
    </row>
    <row r="1363" spans="4:4" x14ac:dyDescent="0.35">
      <c r="D1363" s="13"/>
    </row>
    <row r="1364" spans="4:4" x14ac:dyDescent="0.35">
      <c r="D1364" s="13"/>
    </row>
    <row r="1365" spans="4:4" x14ac:dyDescent="0.35">
      <c r="D1365" s="13"/>
    </row>
    <row r="1366" spans="4:4" x14ac:dyDescent="0.35">
      <c r="D1366" s="13"/>
    </row>
    <row r="1367" spans="4:4" x14ac:dyDescent="0.35">
      <c r="D1367" s="13"/>
    </row>
    <row r="1368" spans="4:4" x14ac:dyDescent="0.35">
      <c r="D1368" s="13"/>
    </row>
    <row r="1369" spans="4:4" x14ac:dyDescent="0.35">
      <c r="D1369" s="13"/>
    </row>
    <row r="1370" spans="4:4" x14ac:dyDescent="0.35">
      <c r="D1370" s="13"/>
    </row>
    <row r="1371" spans="4:4" x14ac:dyDescent="0.35">
      <c r="D1371" s="13"/>
    </row>
    <row r="1372" spans="4:4" x14ac:dyDescent="0.35">
      <c r="D1372" s="13"/>
    </row>
    <row r="1373" spans="4:4" x14ac:dyDescent="0.35">
      <c r="D1373" s="13"/>
    </row>
    <row r="1374" spans="4:4" x14ac:dyDescent="0.35">
      <c r="D1374" s="13"/>
    </row>
    <row r="1375" spans="4:4" x14ac:dyDescent="0.35">
      <c r="D1375" s="13"/>
    </row>
    <row r="1376" spans="4:4" x14ac:dyDescent="0.35">
      <c r="D1376" s="13"/>
    </row>
    <row r="1377" spans="4:4" x14ac:dyDescent="0.35">
      <c r="D1377" s="13"/>
    </row>
    <row r="1378" spans="4:4" x14ac:dyDescent="0.35">
      <c r="D1378" s="13"/>
    </row>
    <row r="1379" spans="4:4" x14ac:dyDescent="0.35">
      <c r="D1379" s="13"/>
    </row>
    <row r="1380" spans="4:4" x14ac:dyDescent="0.35">
      <c r="D1380" s="13"/>
    </row>
    <row r="1381" spans="4:4" x14ac:dyDescent="0.35">
      <c r="D1381" s="13"/>
    </row>
    <row r="1382" spans="4:4" x14ac:dyDescent="0.35">
      <c r="D1382" s="13"/>
    </row>
    <row r="1383" spans="4:4" x14ac:dyDescent="0.35">
      <c r="D1383" s="13"/>
    </row>
    <row r="1384" spans="4:4" x14ac:dyDescent="0.35">
      <c r="D1384" s="13"/>
    </row>
    <row r="1385" spans="4:4" x14ac:dyDescent="0.35">
      <c r="D1385" s="13"/>
    </row>
    <row r="1386" spans="4:4" x14ac:dyDescent="0.35">
      <c r="D1386" s="13"/>
    </row>
    <row r="1387" spans="4:4" x14ac:dyDescent="0.35">
      <c r="D1387" s="13"/>
    </row>
    <row r="1388" spans="4:4" x14ac:dyDescent="0.35">
      <c r="D1388" s="13"/>
    </row>
    <row r="1389" spans="4:4" x14ac:dyDescent="0.35">
      <c r="D1389" s="13"/>
    </row>
    <row r="1390" spans="4:4" x14ac:dyDescent="0.35">
      <c r="D1390" s="13"/>
    </row>
    <row r="1391" spans="4:4" x14ac:dyDescent="0.35">
      <c r="D1391" s="13"/>
    </row>
    <row r="1392" spans="4:4" x14ac:dyDescent="0.35">
      <c r="D1392" s="13"/>
    </row>
    <row r="1393" spans="4:4" x14ac:dyDescent="0.35">
      <c r="D1393" s="13"/>
    </row>
    <row r="1394" spans="4:4" x14ac:dyDescent="0.35">
      <c r="D1394" s="13"/>
    </row>
    <row r="1395" spans="4:4" x14ac:dyDescent="0.35">
      <c r="D1395" s="13"/>
    </row>
    <row r="1396" spans="4:4" x14ac:dyDescent="0.35">
      <c r="D1396" s="13"/>
    </row>
    <row r="1397" spans="4:4" x14ac:dyDescent="0.35">
      <c r="D1397" s="13"/>
    </row>
    <row r="1398" spans="4:4" x14ac:dyDescent="0.35">
      <c r="D1398" s="13"/>
    </row>
    <row r="1399" spans="4:4" x14ac:dyDescent="0.35">
      <c r="D1399" s="13"/>
    </row>
    <row r="1400" spans="4:4" x14ac:dyDescent="0.35">
      <c r="D1400" s="13"/>
    </row>
    <row r="1401" spans="4:4" x14ac:dyDescent="0.35">
      <c r="D1401" s="13"/>
    </row>
    <row r="1402" spans="4:4" x14ac:dyDescent="0.35">
      <c r="D1402" s="13"/>
    </row>
    <row r="1403" spans="4:4" x14ac:dyDescent="0.35">
      <c r="D1403" s="13"/>
    </row>
    <row r="1404" spans="4:4" x14ac:dyDescent="0.35">
      <c r="D1404" s="13"/>
    </row>
    <row r="1405" spans="4:4" x14ac:dyDescent="0.35">
      <c r="D1405" s="13"/>
    </row>
    <row r="1406" spans="4:4" x14ac:dyDescent="0.35">
      <c r="D1406" s="13"/>
    </row>
    <row r="1407" spans="4:4" x14ac:dyDescent="0.35">
      <c r="D1407" s="13"/>
    </row>
    <row r="1408" spans="4:4" x14ac:dyDescent="0.35">
      <c r="D1408" s="13"/>
    </row>
    <row r="1409" spans="4:4" x14ac:dyDescent="0.35">
      <c r="D1409" s="13"/>
    </row>
    <row r="1410" spans="4:4" x14ac:dyDescent="0.35">
      <c r="D1410" s="13"/>
    </row>
    <row r="1411" spans="4:4" x14ac:dyDescent="0.35">
      <c r="D1411" s="13"/>
    </row>
    <row r="1412" spans="4:4" x14ac:dyDescent="0.35">
      <c r="D1412" s="13"/>
    </row>
    <row r="1413" spans="4:4" x14ac:dyDescent="0.35">
      <c r="D1413" s="13"/>
    </row>
    <row r="1414" spans="4:4" x14ac:dyDescent="0.35">
      <c r="D1414" s="13"/>
    </row>
    <row r="1415" spans="4:4" x14ac:dyDescent="0.35">
      <c r="D1415" s="13"/>
    </row>
    <row r="1416" spans="4:4" x14ac:dyDescent="0.35">
      <c r="D1416" s="13"/>
    </row>
    <row r="1417" spans="4:4" x14ac:dyDescent="0.35">
      <c r="D1417" s="13"/>
    </row>
    <row r="1418" spans="4:4" x14ac:dyDescent="0.35">
      <c r="D1418" s="13"/>
    </row>
    <row r="1419" spans="4:4" x14ac:dyDescent="0.35">
      <c r="D1419" s="13"/>
    </row>
    <row r="1420" spans="4:4" x14ac:dyDescent="0.35">
      <c r="D1420" s="13"/>
    </row>
    <row r="1421" spans="4:4" x14ac:dyDescent="0.35">
      <c r="D1421" s="13"/>
    </row>
    <row r="1422" spans="4:4" x14ac:dyDescent="0.35">
      <c r="D1422" s="13"/>
    </row>
    <row r="1423" spans="4:4" x14ac:dyDescent="0.35">
      <c r="D1423" s="13"/>
    </row>
    <row r="1424" spans="4:4" x14ac:dyDescent="0.35">
      <c r="D1424" s="13"/>
    </row>
    <row r="1425" spans="4:4" x14ac:dyDescent="0.35">
      <c r="D1425" s="13"/>
    </row>
    <row r="1426" spans="4:4" x14ac:dyDescent="0.35">
      <c r="D1426" s="13"/>
    </row>
    <row r="1427" spans="4:4" x14ac:dyDescent="0.35">
      <c r="D1427" s="13"/>
    </row>
    <row r="1428" spans="4:4" x14ac:dyDescent="0.35">
      <c r="D1428" s="13"/>
    </row>
    <row r="1429" spans="4:4" x14ac:dyDescent="0.35">
      <c r="D1429" s="13"/>
    </row>
    <row r="1430" spans="4:4" x14ac:dyDescent="0.35">
      <c r="D1430" s="13"/>
    </row>
    <row r="1431" spans="4:4" x14ac:dyDescent="0.35">
      <c r="D1431" s="13"/>
    </row>
    <row r="1432" spans="4:4" x14ac:dyDescent="0.35">
      <c r="D1432" s="13"/>
    </row>
    <row r="1433" spans="4:4" x14ac:dyDescent="0.35">
      <c r="D1433" s="13"/>
    </row>
    <row r="1434" spans="4:4" x14ac:dyDescent="0.35">
      <c r="D1434" s="13"/>
    </row>
    <row r="1435" spans="4:4" x14ac:dyDescent="0.35">
      <c r="D1435" s="13"/>
    </row>
    <row r="1436" spans="4:4" x14ac:dyDescent="0.35">
      <c r="D1436" s="13"/>
    </row>
    <row r="1437" spans="4:4" x14ac:dyDescent="0.35">
      <c r="D1437" s="13"/>
    </row>
    <row r="1438" spans="4:4" x14ac:dyDescent="0.35">
      <c r="D1438" s="13"/>
    </row>
    <row r="1439" spans="4:4" x14ac:dyDescent="0.35">
      <c r="D1439" s="13"/>
    </row>
    <row r="1440" spans="4:4" x14ac:dyDescent="0.35">
      <c r="D1440" s="13"/>
    </row>
    <row r="1441" spans="4:4" x14ac:dyDescent="0.35">
      <c r="D1441" s="13"/>
    </row>
    <row r="1442" spans="4:4" x14ac:dyDescent="0.35">
      <c r="D1442" s="13"/>
    </row>
    <row r="1443" spans="4:4" x14ac:dyDescent="0.35">
      <c r="D1443" s="13"/>
    </row>
    <row r="1444" spans="4:4" x14ac:dyDescent="0.35">
      <c r="D1444" s="13"/>
    </row>
    <row r="1445" spans="4:4" x14ac:dyDescent="0.35">
      <c r="D1445" s="13"/>
    </row>
    <row r="1446" spans="4:4" x14ac:dyDescent="0.35">
      <c r="D1446" s="13"/>
    </row>
    <row r="1447" spans="4:4" x14ac:dyDescent="0.35">
      <c r="D1447" s="13"/>
    </row>
    <row r="1448" spans="4:4" x14ac:dyDescent="0.35">
      <c r="D1448" s="13"/>
    </row>
    <row r="1449" spans="4:4" x14ac:dyDescent="0.35">
      <c r="D1449" s="13"/>
    </row>
    <row r="1450" spans="4:4" x14ac:dyDescent="0.35">
      <c r="D1450" s="13"/>
    </row>
    <row r="1451" spans="4:4" x14ac:dyDescent="0.35">
      <c r="D1451" s="13"/>
    </row>
    <row r="1452" spans="4:4" x14ac:dyDescent="0.35">
      <c r="D1452" s="13"/>
    </row>
    <row r="1453" spans="4:4" x14ac:dyDescent="0.35">
      <c r="D1453" s="13"/>
    </row>
    <row r="1454" spans="4:4" x14ac:dyDescent="0.35">
      <c r="D1454" s="13"/>
    </row>
    <row r="1455" spans="4:4" x14ac:dyDescent="0.35">
      <c r="D1455" s="13"/>
    </row>
    <row r="1456" spans="4:4" x14ac:dyDescent="0.35">
      <c r="D1456" s="13"/>
    </row>
    <row r="1457" spans="4:4" x14ac:dyDescent="0.35">
      <c r="D1457" s="13"/>
    </row>
    <row r="1458" spans="4:4" x14ac:dyDescent="0.35">
      <c r="D1458" s="13"/>
    </row>
    <row r="1459" spans="4:4" x14ac:dyDescent="0.35">
      <c r="D1459" s="13"/>
    </row>
    <row r="1460" spans="4:4" x14ac:dyDescent="0.35">
      <c r="D1460" s="13"/>
    </row>
    <row r="1461" spans="4:4" x14ac:dyDescent="0.35">
      <c r="D1461" s="13"/>
    </row>
    <row r="1462" spans="4:4" x14ac:dyDescent="0.35">
      <c r="D1462" s="13"/>
    </row>
    <row r="1463" spans="4:4" x14ac:dyDescent="0.35">
      <c r="D1463" s="13"/>
    </row>
    <row r="1464" spans="4:4" x14ac:dyDescent="0.35">
      <c r="D1464" s="13"/>
    </row>
    <row r="1465" spans="4:4" x14ac:dyDescent="0.35">
      <c r="D1465" s="13"/>
    </row>
    <row r="1466" spans="4:4" x14ac:dyDescent="0.35">
      <c r="D1466" s="13"/>
    </row>
    <row r="1467" spans="4:4" x14ac:dyDescent="0.35">
      <c r="D1467" s="13"/>
    </row>
    <row r="1468" spans="4:4" x14ac:dyDescent="0.35">
      <c r="D1468" s="13"/>
    </row>
    <row r="1469" spans="4:4" x14ac:dyDescent="0.35">
      <c r="D1469" s="13"/>
    </row>
    <row r="1470" spans="4:4" x14ac:dyDescent="0.35">
      <c r="D1470" s="13"/>
    </row>
    <row r="1471" spans="4:4" x14ac:dyDescent="0.35">
      <c r="D1471" s="13"/>
    </row>
    <row r="1472" spans="4:4" x14ac:dyDescent="0.35">
      <c r="D1472" s="13"/>
    </row>
    <row r="1473" spans="4:4" x14ac:dyDescent="0.35">
      <c r="D1473" s="13"/>
    </row>
    <row r="1474" spans="4:4" x14ac:dyDescent="0.35">
      <c r="D1474" s="13"/>
    </row>
    <row r="1475" spans="4:4" x14ac:dyDescent="0.35">
      <c r="D1475" s="13"/>
    </row>
    <row r="1476" spans="4:4" x14ac:dyDescent="0.35">
      <c r="D1476" s="13"/>
    </row>
    <row r="1477" spans="4:4" x14ac:dyDescent="0.35">
      <c r="D1477" s="13"/>
    </row>
    <row r="1478" spans="4:4" x14ac:dyDescent="0.35">
      <c r="D1478" s="13"/>
    </row>
    <row r="1479" spans="4:4" x14ac:dyDescent="0.35">
      <c r="D1479" s="13"/>
    </row>
    <row r="1480" spans="4:4" x14ac:dyDescent="0.35">
      <c r="D1480" s="13"/>
    </row>
    <row r="1481" spans="4:4" x14ac:dyDescent="0.35">
      <c r="D1481" s="13"/>
    </row>
    <row r="1482" spans="4:4" x14ac:dyDescent="0.35">
      <c r="D1482" s="13"/>
    </row>
    <row r="1483" spans="4:4" x14ac:dyDescent="0.35">
      <c r="D1483" s="13"/>
    </row>
    <row r="1484" spans="4:4" x14ac:dyDescent="0.35">
      <c r="D1484" s="13"/>
    </row>
    <row r="1485" spans="4:4" x14ac:dyDescent="0.35">
      <c r="D1485" s="13"/>
    </row>
    <row r="1486" spans="4:4" x14ac:dyDescent="0.35">
      <c r="D1486" s="13"/>
    </row>
    <row r="1487" spans="4:4" x14ac:dyDescent="0.35">
      <c r="D1487" s="13"/>
    </row>
    <row r="1488" spans="4:4" x14ac:dyDescent="0.35">
      <c r="D1488" s="13"/>
    </row>
    <row r="1489" spans="4:4" x14ac:dyDescent="0.35">
      <c r="D1489" s="13"/>
    </row>
    <row r="1490" spans="4:4" x14ac:dyDescent="0.35">
      <c r="D1490" s="13"/>
    </row>
    <row r="1491" spans="4:4" x14ac:dyDescent="0.35">
      <c r="D1491" s="13"/>
    </row>
    <row r="1492" spans="4:4" x14ac:dyDescent="0.35">
      <c r="D1492" s="13"/>
    </row>
    <row r="1493" spans="4:4" x14ac:dyDescent="0.35">
      <c r="D1493" s="13"/>
    </row>
    <row r="1494" spans="4:4" x14ac:dyDescent="0.35">
      <c r="D1494" s="13"/>
    </row>
    <row r="1495" spans="4:4" x14ac:dyDescent="0.35">
      <c r="D1495" s="13"/>
    </row>
    <row r="1496" spans="4:4" x14ac:dyDescent="0.35">
      <c r="D1496" s="13"/>
    </row>
    <row r="1497" spans="4:4" x14ac:dyDescent="0.35">
      <c r="D1497" s="13"/>
    </row>
    <row r="1498" spans="4:4" x14ac:dyDescent="0.35">
      <c r="D1498" s="13"/>
    </row>
    <row r="1499" spans="4:4" x14ac:dyDescent="0.35">
      <c r="D1499" s="13"/>
    </row>
    <row r="1500" spans="4:4" x14ac:dyDescent="0.35">
      <c r="D1500" s="13"/>
    </row>
    <row r="1501" spans="4:4" x14ac:dyDescent="0.35">
      <c r="D1501" s="13"/>
    </row>
    <row r="1502" spans="4:4" x14ac:dyDescent="0.35">
      <c r="D1502" s="13"/>
    </row>
    <row r="1503" spans="4:4" x14ac:dyDescent="0.35">
      <c r="D1503" s="13"/>
    </row>
    <row r="1504" spans="4:4" x14ac:dyDescent="0.35">
      <c r="D1504" s="13"/>
    </row>
    <row r="1505" spans="4:4" x14ac:dyDescent="0.35">
      <c r="D1505" s="13"/>
    </row>
    <row r="1506" spans="4:4" x14ac:dyDescent="0.35">
      <c r="D1506" s="13"/>
    </row>
    <row r="1507" spans="4:4" x14ac:dyDescent="0.35">
      <c r="D1507" s="13"/>
    </row>
    <row r="1508" spans="4:4" x14ac:dyDescent="0.35">
      <c r="D1508" s="13"/>
    </row>
    <row r="1509" spans="4:4" x14ac:dyDescent="0.35">
      <c r="D1509" s="13"/>
    </row>
    <row r="1510" spans="4:4" x14ac:dyDescent="0.35">
      <c r="D1510" s="13"/>
    </row>
    <row r="1511" spans="4:4" x14ac:dyDescent="0.35">
      <c r="D1511" s="13"/>
    </row>
    <row r="1512" spans="4:4" x14ac:dyDescent="0.35">
      <c r="D1512" s="13"/>
    </row>
    <row r="1513" spans="4:4" x14ac:dyDescent="0.35">
      <c r="D1513" s="13"/>
    </row>
    <row r="1514" spans="4:4" x14ac:dyDescent="0.35">
      <c r="D1514" s="13"/>
    </row>
    <row r="1515" spans="4:4" x14ac:dyDescent="0.35">
      <c r="D1515" s="13"/>
    </row>
    <row r="1516" spans="4:4" x14ac:dyDescent="0.35">
      <c r="D1516" s="13"/>
    </row>
    <row r="1517" spans="4:4" x14ac:dyDescent="0.35">
      <c r="D1517" s="13"/>
    </row>
    <row r="1518" spans="4:4" x14ac:dyDescent="0.35">
      <c r="D1518" s="13"/>
    </row>
    <row r="1519" spans="4:4" x14ac:dyDescent="0.35">
      <c r="D1519" s="13"/>
    </row>
    <row r="1520" spans="4:4" x14ac:dyDescent="0.35">
      <c r="D1520" s="13"/>
    </row>
    <row r="1521" spans="4:4" x14ac:dyDescent="0.35">
      <c r="D1521" s="13"/>
    </row>
    <row r="1522" spans="4:4" x14ac:dyDescent="0.35">
      <c r="D1522" s="13"/>
    </row>
    <row r="1523" spans="4:4" x14ac:dyDescent="0.35">
      <c r="D1523" s="13"/>
    </row>
    <row r="1524" spans="4:4" x14ac:dyDescent="0.35">
      <c r="D1524" s="13"/>
    </row>
    <row r="1525" spans="4:4" x14ac:dyDescent="0.35">
      <c r="D1525" s="13"/>
    </row>
    <row r="1526" spans="4:4" x14ac:dyDescent="0.35">
      <c r="D1526" s="13"/>
    </row>
    <row r="1527" spans="4:4" x14ac:dyDescent="0.35">
      <c r="D1527" s="13"/>
    </row>
    <row r="1528" spans="4:4" x14ac:dyDescent="0.35">
      <c r="D1528" s="13"/>
    </row>
    <row r="1529" spans="4:4" x14ac:dyDescent="0.35">
      <c r="D1529" s="13"/>
    </row>
    <row r="1530" spans="4:4" x14ac:dyDescent="0.35">
      <c r="D1530" s="13"/>
    </row>
    <row r="1531" spans="4:4" x14ac:dyDescent="0.35">
      <c r="D1531" s="13"/>
    </row>
    <row r="1532" spans="4:4" x14ac:dyDescent="0.35">
      <c r="D1532" s="13"/>
    </row>
    <row r="1533" spans="4:4" x14ac:dyDescent="0.35">
      <c r="D1533" s="13"/>
    </row>
    <row r="1534" spans="4:4" x14ac:dyDescent="0.35">
      <c r="D1534" s="13"/>
    </row>
    <row r="1535" spans="4:4" x14ac:dyDescent="0.35">
      <c r="D1535" s="13"/>
    </row>
    <row r="1536" spans="4:4" x14ac:dyDescent="0.35">
      <c r="D1536" s="13"/>
    </row>
    <row r="1537" spans="4:4" x14ac:dyDescent="0.35">
      <c r="D1537" s="13"/>
    </row>
    <row r="1538" spans="4:4" x14ac:dyDescent="0.35">
      <c r="D1538" s="13"/>
    </row>
    <row r="1539" spans="4:4" x14ac:dyDescent="0.35">
      <c r="D1539" s="13"/>
    </row>
    <row r="1540" spans="4:4" x14ac:dyDescent="0.35">
      <c r="D1540" s="13"/>
    </row>
    <row r="1541" spans="4:4" x14ac:dyDescent="0.35">
      <c r="D1541" s="13"/>
    </row>
    <row r="1542" spans="4:4" x14ac:dyDescent="0.35">
      <c r="D1542" s="13"/>
    </row>
    <row r="1543" spans="4:4" x14ac:dyDescent="0.35">
      <c r="D1543" s="13"/>
    </row>
    <row r="1544" spans="4:4" x14ac:dyDescent="0.35">
      <c r="D1544" s="13"/>
    </row>
    <row r="1545" spans="4:4" x14ac:dyDescent="0.35">
      <c r="D1545" s="13"/>
    </row>
    <row r="1546" spans="4:4" x14ac:dyDescent="0.35">
      <c r="D1546" s="13"/>
    </row>
    <row r="1547" spans="4:4" x14ac:dyDescent="0.35">
      <c r="D1547" s="13"/>
    </row>
    <row r="1548" spans="4:4" x14ac:dyDescent="0.35">
      <c r="D1548" s="13"/>
    </row>
    <row r="1549" spans="4:4" x14ac:dyDescent="0.35">
      <c r="D1549" s="13"/>
    </row>
    <row r="1550" spans="4:4" x14ac:dyDescent="0.35">
      <c r="D1550" s="13"/>
    </row>
    <row r="1551" spans="4:4" x14ac:dyDescent="0.35">
      <c r="D1551" s="13"/>
    </row>
    <row r="1552" spans="4:4" x14ac:dyDescent="0.35">
      <c r="D1552" s="13"/>
    </row>
    <row r="1553" spans="4:4" x14ac:dyDescent="0.35">
      <c r="D1553" s="13"/>
    </row>
    <row r="1554" spans="4:4" x14ac:dyDescent="0.35">
      <c r="D1554" s="13"/>
    </row>
    <row r="1555" spans="4:4" x14ac:dyDescent="0.35">
      <c r="D1555" s="13"/>
    </row>
    <row r="1556" spans="4:4" x14ac:dyDescent="0.35">
      <c r="D1556" s="13"/>
    </row>
    <row r="1557" spans="4:4" x14ac:dyDescent="0.35">
      <c r="D1557" s="13"/>
    </row>
    <row r="1558" spans="4:4" x14ac:dyDescent="0.35">
      <c r="D1558" s="13"/>
    </row>
    <row r="1559" spans="4:4" x14ac:dyDescent="0.35">
      <c r="D1559" s="13"/>
    </row>
    <row r="1560" spans="4:4" x14ac:dyDescent="0.35">
      <c r="D1560" s="13"/>
    </row>
    <row r="1561" spans="4:4" x14ac:dyDescent="0.35">
      <c r="D1561" s="13"/>
    </row>
    <row r="1562" spans="4:4" x14ac:dyDescent="0.35">
      <c r="D1562" s="13"/>
    </row>
    <row r="1563" spans="4:4" x14ac:dyDescent="0.35">
      <c r="D1563" s="13"/>
    </row>
    <row r="1564" spans="4:4" x14ac:dyDescent="0.35">
      <c r="D1564" s="13"/>
    </row>
    <row r="1565" spans="4:4" x14ac:dyDescent="0.35">
      <c r="D1565" s="13"/>
    </row>
    <row r="1566" spans="4:4" x14ac:dyDescent="0.35">
      <c r="D1566" s="13"/>
    </row>
    <row r="1567" spans="4:4" x14ac:dyDescent="0.35">
      <c r="D1567" s="13"/>
    </row>
    <row r="1568" spans="4:4" x14ac:dyDescent="0.35">
      <c r="D1568" s="13"/>
    </row>
    <row r="1569" spans="4:4" x14ac:dyDescent="0.35">
      <c r="D1569" s="13"/>
    </row>
    <row r="1570" spans="4:4" x14ac:dyDescent="0.35">
      <c r="D1570" s="13"/>
    </row>
    <row r="1571" spans="4:4" x14ac:dyDescent="0.35">
      <c r="D1571" s="13"/>
    </row>
    <row r="1572" spans="4:4" x14ac:dyDescent="0.35">
      <c r="D1572" s="13"/>
    </row>
    <row r="1573" spans="4:4" x14ac:dyDescent="0.35">
      <c r="D1573" s="13"/>
    </row>
    <row r="1574" spans="4:4" x14ac:dyDescent="0.35">
      <c r="D1574" s="13"/>
    </row>
    <row r="1575" spans="4:4" x14ac:dyDescent="0.35">
      <c r="D1575" s="13"/>
    </row>
    <row r="1576" spans="4:4" x14ac:dyDescent="0.35">
      <c r="D1576" s="13"/>
    </row>
    <row r="1577" spans="4:4" x14ac:dyDescent="0.35">
      <c r="D1577" s="13"/>
    </row>
    <row r="1578" spans="4:4" x14ac:dyDescent="0.35">
      <c r="D1578" s="13"/>
    </row>
    <row r="1579" spans="4:4" x14ac:dyDescent="0.35">
      <c r="D1579" s="13"/>
    </row>
    <row r="1580" spans="4:4" x14ac:dyDescent="0.35">
      <c r="D1580" s="13"/>
    </row>
    <row r="1581" spans="4:4" x14ac:dyDescent="0.35">
      <c r="D1581" s="13"/>
    </row>
    <row r="1582" spans="4:4" x14ac:dyDescent="0.35">
      <c r="D1582" s="13"/>
    </row>
    <row r="1583" spans="4:4" x14ac:dyDescent="0.35">
      <c r="D1583" s="13"/>
    </row>
    <row r="1584" spans="4:4" x14ac:dyDescent="0.35">
      <c r="D1584" s="13"/>
    </row>
    <row r="1585" spans="4:4" x14ac:dyDescent="0.35">
      <c r="D1585" s="13"/>
    </row>
    <row r="1586" spans="4:4" x14ac:dyDescent="0.35">
      <c r="D1586" s="13"/>
    </row>
    <row r="1587" spans="4:4" x14ac:dyDescent="0.35">
      <c r="D1587" s="13"/>
    </row>
    <row r="1588" spans="4:4" x14ac:dyDescent="0.35">
      <c r="D1588" s="13"/>
    </row>
    <row r="1589" spans="4:4" x14ac:dyDescent="0.35">
      <c r="D1589" s="13"/>
    </row>
    <row r="1590" spans="4:4" x14ac:dyDescent="0.35">
      <c r="D1590" s="13"/>
    </row>
    <row r="1591" spans="4:4" x14ac:dyDescent="0.35">
      <c r="D1591" s="13"/>
    </row>
    <row r="1592" spans="4:4" x14ac:dyDescent="0.35">
      <c r="D1592" s="13"/>
    </row>
    <row r="1593" spans="4:4" x14ac:dyDescent="0.35">
      <c r="D1593" s="13"/>
    </row>
    <row r="1594" spans="4:4" x14ac:dyDescent="0.35">
      <c r="D1594" s="13"/>
    </row>
    <row r="1595" spans="4:4" x14ac:dyDescent="0.35">
      <c r="D1595" s="13"/>
    </row>
    <row r="1596" spans="4:4" x14ac:dyDescent="0.35">
      <c r="D1596" s="13"/>
    </row>
    <row r="1597" spans="4:4" x14ac:dyDescent="0.35">
      <c r="D1597" s="13"/>
    </row>
    <row r="1598" spans="4:4" x14ac:dyDescent="0.35">
      <c r="D1598" s="13"/>
    </row>
    <row r="1599" spans="4:4" x14ac:dyDescent="0.35">
      <c r="D1599" s="13"/>
    </row>
    <row r="1600" spans="4:4" x14ac:dyDescent="0.35">
      <c r="D1600" s="13"/>
    </row>
    <row r="1601" spans="4:4" x14ac:dyDescent="0.35">
      <c r="D1601" s="13"/>
    </row>
    <row r="1602" spans="4:4" x14ac:dyDescent="0.35">
      <c r="D1602" s="13"/>
    </row>
    <row r="1603" spans="4:4" x14ac:dyDescent="0.35">
      <c r="D1603" s="13"/>
    </row>
    <row r="1604" spans="4:4" x14ac:dyDescent="0.35">
      <c r="D1604" s="13"/>
    </row>
    <row r="1605" spans="4:4" x14ac:dyDescent="0.35">
      <c r="D1605" s="13"/>
    </row>
    <row r="1606" spans="4:4" x14ac:dyDescent="0.35">
      <c r="D1606" s="13"/>
    </row>
    <row r="1607" spans="4:4" x14ac:dyDescent="0.35">
      <c r="D1607" s="13"/>
    </row>
    <row r="1608" spans="4:4" x14ac:dyDescent="0.35">
      <c r="D1608" s="13"/>
    </row>
    <row r="1609" spans="4:4" x14ac:dyDescent="0.35">
      <c r="D1609" s="13"/>
    </row>
    <row r="1610" spans="4:4" x14ac:dyDescent="0.35">
      <c r="D1610" s="13"/>
    </row>
    <row r="1611" spans="4:4" x14ac:dyDescent="0.35">
      <c r="D1611" s="13"/>
    </row>
    <row r="1612" spans="4:4" x14ac:dyDescent="0.35">
      <c r="D1612" s="13"/>
    </row>
    <row r="1613" spans="4:4" x14ac:dyDescent="0.35">
      <c r="D1613" s="13"/>
    </row>
    <row r="1614" spans="4:4" x14ac:dyDescent="0.35">
      <c r="D1614" s="13"/>
    </row>
    <row r="1615" spans="4:4" x14ac:dyDescent="0.35">
      <c r="D1615" s="13"/>
    </row>
    <row r="1616" spans="4:4" x14ac:dyDescent="0.35">
      <c r="D1616" s="13"/>
    </row>
    <row r="1617" spans="4:4" x14ac:dyDescent="0.35">
      <c r="D1617" s="13"/>
    </row>
    <row r="1618" spans="4:4" x14ac:dyDescent="0.35">
      <c r="D1618" s="13"/>
    </row>
    <row r="1619" spans="4:4" x14ac:dyDescent="0.35">
      <c r="D1619" s="13"/>
    </row>
    <row r="1620" spans="4:4" x14ac:dyDescent="0.35">
      <c r="D1620" s="13"/>
    </row>
    <row r="1621" spans="4:4" x14ac:dyDescent="0.35">
      <c r="D1621" s="13"/>
    </row>
    <row r="1622" spans="4:4" x14ac:dyDescent="0.35">
      <c r="D1622" s="13"/>
    </row>
    <row r="1623" spans="4:4" x14ac:dyDescent="0.35">
      <c r="D1623" s="13"/>
    </row>
    <row r="1624" spans="4:4" x14ac:dyDescent="0.35">
      <c r="D1624" s="13"/>
    </row>
    <row r="1625" spans="4:4" x14ac:dyDescent="0.35">
      <c r="D1625" s="13"/>
    </row>
    <row r="1626" spans="4:4" x14ac:dyDescent="0.35">
      <c r="D1626" s="13"/>
    </row>
    <row r="1627" spans="4:4" x14ac:dyDescent="0.35">
      <c r="D1627" s="13"/>
    </row>
    <row r="1628" spans="4:4" x14ac:dyDescent="0.35">
      <c r="D1628" s="13"/>
    </row>
    <row r="1629" spans="4:4" x14ac:dyDescent="0.35">
      <c r="D1629" s="13"/>
    </row>
    <row r="1630" spans="4:4" x14ac:dyDescent="0.35">
      <c r="D1630" s="13"/>
    </row>
    <row r="1631" spans="4:4" x14ac:dyDescent="0.35">
      <c r="D1631" s="13"/>
    </row>
    <row r="1632" spans="4:4" x14ac:dyDescent="0.35">
      <c r="D1632" s="13"/>
    </row>
    <row r="1633" spans="4:4" x14ac:dyDescent="0.35">
      <c r="D1633" s="13"/>
    </row>
    <row r="1634" spans="4:4" x14ac:dyDescent="0.35">
      <c r="D1634" s="13"/>
    </row>
    <row r="1635" spans="4:4" x14ac:dyDescent="0.35">
      <c r="D1635" s="13"/>
    </row>
    <row r="1636" spans="4:4" x14ac:dyDescent="0.35">
      <c r="D1636" s="13"/>
    </row>
    <row r="1637" spans="4:4" x14ac:dyDescent="0.35">
      <c r="D1637" s="13"/>
    </row>
    <row r="1638" spans="4:4" x14ac:dyDescent="0.35">
      <c r="D1638" s="13"/>
    </row>
    <row r="1639" spans="4:4" x14ac:dyDescent="0.35">
      <c r="D1639" s="13"/>
    </row>
    <row r="1640" spans="4:4" x14ac:dyDescent="0.35">
      <c r="D1640" s="13"/>
    </row>
    <row r="1641" spans="4:4" x14ac:dyDescent="0.35">
      <c r="D1641" s="13"/>
    </row>
    <row r="1642" spans="4:4" x14ac:dyDescent="0.35">
      <c r="D1642" s="13"/>
    </row>
    <row r="1643" spans="4:4" x14ac:dyDescent="0.35">
      <c r="D1643" s="13"/>
    </row>
    <row r="1644" spans="4:4" x14ac:dyDescent="0.35">
      <c r="D1644" s="13"/>
    </row>
    <row r="1645" spans="4:4" x14ac:dyDescent="0.35">
      <c r="D1645" s="13"/>
    </row>
    <row r="1646" spans="4:4" x14ac:dyDescent="0.35">
      <c r="D1646" s="13"/>
    </row>
    <row r="1647" spans="4:4" x14ac:dyDescent="0.35">
      <c r="D1647" s="13"/>
    </row>
    <row r="1648" spans="4:4" x14ac:dyDescent="0.35">
      <c r="D1648" s="13"/>
    </row>
    <row r="1649" spans="4:4" x14ac:dyDescent="0.35">
      <c r="D1649" s="13"/>
    </row>
    <row r="1650" spans="4:4" x14ac:dyDescent="0.35">
      <c r="D1650" s="13"/>
    </row>
    <row r="1651" spans="4:4" x14ac:dyDescent="0.35">
      <c r="D1651" s="13"/>
    </row>
    <row r="1652" spans="4:4" x14ac:dyDescent="0.35">
      <c r="D1652" s="13"/>
    </row>
    <row r="1653" spans="4:4" x14ac:dyDescent="0.35">
      <c r="D1653" s="13"/>
    </row>
    <row r="1654" spans="4:4" x14ac:dyDescent="0.35">
      <c r="D1654" s="13"/>
    </row>
    <row r="1655" spans="4:4" x14ac:dyDescent="0.35">
      <c r="D1655" s="13"/>
    </row>
    <row r="1656" spans="4:4" x14ac:dyDescent="0.35">
      <c r="D1656" s="13"/>
    </row>
    <row r="1657" spans="4:4" x14ac:dyDescent="0.35">
      <c r="D1657" s="13"/>
    </row>
    <row r="1658" spans="4:4" x14ac:dyDescent="0.35">
      <c r="D1658" s="13"/>
    </row>
    <row r="1659" spans="4:4" x14ac:dyDescent="0.35">
      <c r="D1659" s="13"/>
    </row>
    <row r="1660" spans="4:4" x14ac:dyDescent="0.35">
      <c r="D1660" s="13"/>
    </row>
    <row r="1661" spans="4:4" x14ac:dyDescent="0.35">
      <c r="D1661" s="13"/>
    </row>
    <row r="1662" spans="4:4" x14ac:dyDescent="0.35">
      <c r="D1662" s="13"/>
    </row>
    <row r="1663" spans="4:4" x14ac:dyDescent="0.35">
      <c r="D1663" s="13"/>
    </row>
    <row r="1664" spans="4:4" x14ac:dyDescent="0.35">
      <c r="D1664" s="13"/>
    </row>
    <row r="1665" spans="4:4" x14ac:dyDescent="0.35">
      <c r="D1665" s="13"/>
    </row>
    <row r="1666" spans="4:4" x14ac:dyDescent="0.35">
      <c r="D1666" s="13"/>
    </row>
    <row r="1667" spans="4:4" x14ac:dyDescent="0.35">
      <c r="D1667" s="13"/>
    </row>
    <row r="1668" spans="4:4" x14ac:dyDescent="0.35">
      <c r="D1668" s="13"/>
    </row>
    <row r="1669" spans="4:4" x14ac:dyDescent="0.35">
      <c r="D1669" s="13"/>
    </row>
    <row r="1670" spans="4:4" x14ac:dyDescent="0.35">
      <c r="D1670" s="13"/>
    </row>
    <row r="1671" spans="4:4" x14ac:dyDescent="0.35">
      <c r="D1671" s="13"/>
    </row>
    <row r="1672" spans="4:4" x14ac:dyDescent="0.35">
      <c r="D1672" s="13"/>
    </row>
    <row r="1673" spans="4:4" x14ac:dyDescent="0.35">
      <c r="D1673" s="13"/>
    </row>
    <row r="1674" spans="4:4" x14ac:dyDescent="0.35">
      <c r="D1674" s="13"/>
    </row>
    <row r="1675" spans="4:4" x14ac:dyDescent="0.35">
      <c r="D1675" s="13"/>
    </row>
    <row r="1676" spans="4:4" x14ac:dyDescent="0.35">
      <c r="D1676" s="13"/>
    </row>
    <row r="1677" spans="4:4" x14ac:dyDescent="0.35">
      <c r="D1677" s="13"/>
    </row>
    <row r="1678" spans="4:4" x14ac:dyDescent="0.35">
      <c r="D1678" s="13"/>
    </row>
    <row r="1679" spans="4:4" x14ac:dyDescent="0.35">
      <c r="D1679" s="13"/>
    </row>
    <row r="1680" spans="4:4" x14ac:dyDescent="0.35">
      <c r="D1680" s="13"/>
    </row>
    <row r="1681" spans="4:4" x14ac:dyDescent="0.35">
      <c r="D1681" s="13"/>
    </row>
    <row r="1682" spans="4:4" x14ac:dyDescent="0.35">
      <c r="D1682" s="13"/>
    </row>
    <row r="1683" spans="4:4" x14ac:dyDescent="0.35">
      <c r="D1683" s="13"/>
    </row>
    <row r="1684" spans="4:4" x14ac:dyDescent="0.35">
      <c r="D1684" s="13"/>
    </row>
    <row r="1685" spans="4:4" x14ac:dyDescent="0.35">
      <c r="D1685" s="13"/>
    </row>
    <row r="1686" spans="4:4" x14ac:dyDescent="0.35">
      <c r="D1686" s="13"/>
    </row>
    <row r="1687" spans="4:4" x14ac:dyDescent="0.35">
      <c r="D1687" s="13"/>
    </row>
    <row r="1688" spans="4:4" x14ac:dyDescent="0.35">
      <c r="D1688" s="13"/>
    </row>
    <row r="1689" spans="4:4" x14ac:dyDescent="0.35">
      <c r="D1689" s="13"/>
    </row>
    <row r="1690" spans="4:4" x14ac:dyDescent="0.35">
      <c r="D1690" s="13"/>
    </row>
    <row r="1691" spans="4:4" x14ac:dyDescent="0.35">
      <c r="D1691" s="13"/>
    </row>
    <row r="1692" spans="4:4" x14ac:dyDescent="0.35">
      <c r="D1692" s="13"/>
    </row>
    <row r="1693" spans="4:4" x14ac:dyDescent="0.35">
      <c r="D1693" s="13"/>
    </row>
    <row r="1694" spans="4:4" x14ac:dyDescent="0.35">
      <c r="D1694" s="13"/>
    </row>
    <row r="1695" spans="4:4" x14ac:dyDescent="0.35">
      <c r="D1695" s="13"/>
    </row>
    <row r="1696" spans="4:4" x14ac:dyDescent="0.35">
      <c r="D1696" s="13"/>
    </row>
    <row r="1697" spans="4:4" x14ac:dyDescent="0.35">
      <c r="D1697" s="13"/>
    </row>
    <row r="1698" spans="4:4" x14ac:dyDescent="0.35">
      <c r="D1698" s="13"/>
    </row>
    <row r="1699" spans="4:4" x14ac:dyDescent="0.35">
      <c r="D1699" s="13"/>
    </row>
    <row r="1700" spans="4:4" x14ac:dyDescent="0.35">
      <c r="D1700" s="13"/>
    </row>
    <row r="1701" spans="4:4" x14ac:dyDescent="0.35">
      <c r="D1701" s="13"/>
    </row>
    <row r="1702" spans="4:4" x14ac:dyDescent="0.35">
      <c r="D1702" s="13"/>
    </row>
    <row r="1703" spans="4:4" x14ac:dyDescent="0.35">
      <c r="D1703" s="13"/>
    </row>
    <row r="1704" spans="4:4" x14ac:dyDescent="0.35">
      <c r="D1704" s="13"/>
    </row>
    <row r="1705" spans="4:4" x14ac:dyDescent="0.35">
      <c r="D1705" s="13"/>
    </row>
    <row r="1706" spans="4:4" x14ac:dyDescent="0.35">
      <c r="D1706" s="13"/>
    </row>
    <row r="1707" spans="4:4" x14ac:dyDescent="0.35">
      <c r="D1707" s="13"/>
    </row>
    <row r="1708" spans="4:4" x14ac:dyDescent="0.35">
      <c r="D1708" s="13"/>
    </row>
    <row r="1709" spans="4:4" x14ac:dyDescent="0.35">
      <c r="D1709" s="13"/>
    </row>
    <row r="1710" spans="4:4" x14ac:dyDescent="0.35">
      <c r="D1710" s="13"/>
    </row>
    <row r="1711" spans="4:4" x14ac:dyDescent="0.35">
      <c r="D1711" s="13"/>
    </row>
    <row r="1712" spans="4:4" x14ac:dyDescent="0.35">
      <c r="D1712" s="13"/>
    </row>
    <row r="1713" spans="4:4" x14ac:dyDescent="0.35">
      <c r="D1713" s="13"/>
    </row>
    <row r="1714" spans="4:4" x14ac:dyDescent="0.35">
      <c r="D1714" s="13"/>
    </row>
    <row r="1715" spans="4:4" x14ac:dyDescent="0.35">
      <c r="D1715" s="13"/>
    </row>
    <row r="1716" spans="4:4" x14ac:dyDescent="0.35">
      <c r="D1716" s="13"/>
    </row>
    <row r="1717" spans="4:4" x14ac:dyDescent="0.35">
      <c r="D1717" s="13"/>
    </row>
    <row r="1718" spans="4:4" x14ac:dyDescent="0.35">
      <c r="D1718" s="13"/>
    </row>
    <row r="1719" spans="4:4" x14ac:dyDescent="0.35">
      <c r="D1719" s="13"/>
    </row>
    <row r="1720" spans="4:4" x14ac:dyDescent="0.35">
      <c r="D1720" s="13"/>
    </row>
    <row r="1721" spans="4:4" x14ac:dyDescent="0.35">
      <c r="D1721" s="13"/>
    </row>
    <row r="1722" spans="4:4" x14ac:dyDescent="0.35">
      <c r="D1722" s="13"/>
    </row>
    <row r="1723" spans="4:4" x14ac:dyDescent="0.35">
      <c r="D1723" s="13"/>
    </row>
    <row r="1724" spans="4:4" x14ac:dyDescent="0.35">
      <c r="D1724" s="13"/>
    </row>
    <row r="1725" spans="4:4" x14ac:dyDescent="0.35">
      <c r="D1725" s="13"/>
    </row>
    <row r="1726" spans="4:4" x14ac:dyDescent="0.35">
      <c r="D1726" s="13"/>
    </row>
    <row r="1727" spans="4:4" x14ac:dyDescent="0.35">
      <c r="D1727" s="13"/>
    </row>
    <row r="1728" spans="4:4" x14ac:dyDescent="0.35">
      <c r="D1728" s="13"/>
    </row>
    <row r="1729" spans="4:4" x14ac:dyDescent="0.35">
      <c r="D1729" s="13"/>
    </row>
    <row r="1730" spans="4:4" x14ac:dyDescent="0.35">
      <c r="D1730" s="13"/>
    </row>
    <row r="1731" spans="4:4" x14ac:dyDescent="0.35">
      <c r="D1731" s="13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R399"/>
  <sheetViews>
    <sheetView tabSelected="1" topLeftCell="A70" zoomScale="55" zoomScaleNormal="55" workbookViewId="0">
      <selection activeCell="C90" sqref="C90:H90"/>
    </sheetView>
  </sheetViews>
  <sheetFormatPr defaultRowHeight="14.5" x14ac:dyDescent="0.35"/>
  <cols>
    <col min="2" max="2" width="20.26953125" bestFit="1" customWidth="1"/>
    <col min="3" max="3" width="7.26953125" bestFit="1" customWidth="1"/>
    <col min="4" max="4" width="15.54296875" bestFit="1" customWidth="1"/>
    <col min="5" max="5" width="11.26953125" bestFit="1" customWidth="1"/>
    <col min="6" max="6" width="6.54296875" bestFit="1" customWidth="1"/>
    <col min="7" max="7" width="10.54296875" bestFit="1" customWidth="1"/>
    <col min="8" max="8" width="21" customWidth="1"/>
    <col min="10" max="10" width="5.7265625" bestFit="1" customWidth="1"/>
    <col min="11" max="11" width="15.26953125" bestFit="1" customWidth="1"/>
    <col min="12" max="12" width="16.54296875" bestFit="1" customWidth="1"/>
    <col min="13" max="13" width="8" bestFit="1" customWidth="1"/>
    <col min="14" max="14" width="16.26953125" customWidth="1"/>
    <col min="15" max="15" width="7.26953125" bestFit="1" customWidth="1"/>
    <col min="16" max="16" width="7" bestFit="1" customWidth="1"/>
    <col min="17" max="17" width="4.26953125" bestFit="1" customWidth="1"/>
    <col min="18" max="18" width="9.453125" bestFit="1" customWidth="1"/>
  </cols>
  <sheetData>
    <row r="1" spans="2:18" ht="16.149999999999999" customHeight="1" thickBot="1" x14ac:dyDescent="0.4"/>
    <row r="2" spans="2:18" ht="15.5" x14ac:dyDescent="0.35">
      <c r="B2" s="44" t="s">
        <v>62</v>
      </c>
      <c r="C2" s="45"/>
      <c r="D2" s="45"/>
      <c r="E2" s="45"/>
      <c r="F2" s="45"/>
      <c r="G2" s="45"/>
      <c r="H2" s="46"/>
      <c r="J2" s="11"/>
      <c r="K2" s="27" t="s">
        <v>59</v>
      </c>
      <c r="L2" s="28"/>
      <c r="M2" s="28"/>
      <c r="N2" s="28"/>
      <c r="O2" s="28"/>
      <c r="P2" s="28"/>
      <c r="Q2" s="29"/>
      <c r="R2" s="11"/>
    </row>
    <row r="3" spans="2:18" ht="15.5" x14ac:dyDescent="0.35">
      <c r="B3" s="47"/>
      <c r="C3" s="48"/>
      <c r="D3" s="48"/>
      <c r="E3" s="48"/>
      <c r="F3" s="48"/>
      <c r="G3" s="48"/>
      <c r="H3" s="49"/>
      <c r="J3" s="11"/>
      <c r="K3" s="30"/>
      <c r="L3" s="31"/>
      <c r="M3" s="31"/>
      <c r="N3" s="31"/>
      <c r="O3" s="31"/>
      <c r="P3" s="31"/>
      <c r="Q3" s="32"/>
      <c r="R3" s="11"/>
    </row>
    <row r="4" spans="2:18" ht="16" thickBot="1" x14ac:dyDescent="0.4">
      <c r="B4" s="47"/>
      <c r="C4" s="48"/>
      <c r="D4" s="48"/>
      <c r="E4" s="48"/>
      <c r="F4" s="48"/>
      <c r="G4" s="48"/>
      <c r="H4" s="49"/>
      <c r="J4" s="11"/>
      <c r="K4" s="33"/>
      <c r="L4" s="34"/>
      <c r="M4" s="34"/>
      <c r="N4" s="34"/>
      <c r="O4" s="34"/>
      <c r="P4" s="34"/>
      <c r="Q4" s="35"/>
      <c r="R4" s="11"/>
    </row>
    <row r="5" spans="2:18" ht="15.65" customHeight="1" thickBot="1" x14ac:dyDescent="0.4">
      <c r="B5" s="50"/>
      <c r="C5" s="51"/>
      <c r="D5" s="51"/>
      <c r="E5" s="51"/>
      <c r="F5" s="51"/>
      <c r="G5" s="51"/>
      <c r="H5" s="52"/>
    </row>
    <row r="6" spans="2:18" ht="15" thickBot="1" x14ac:dyDescent="0.4">
      <c r="K6" s="36" t="s">
        <v>1</v>
      </c>
      <c r="L6" s="37"/>
      <c r="M6" s="38"/>
      <c r="N6" s="42" t="str">
        <f>E7</f>
        <v>KABITA GOGOI(ESIC/S.H.R.C.)</v>
      </c>
      <c r="O6" s="43"/>
      <c r="P6" s="43"/>
      <c r="Q6" s="43"/>
      <c r="R6" s="12"/>
    </row>
    <row r="7" spans="2:18" ht="15" thickBot="1" x14ac:dyDescent="0.4">
      <c r="B7" s="54" t="s">
        <v>1</v>
      </c>
      <c r="C7" s="54"/>
      <c r="D7" s="54"/>
      <c r="E7" s="42" t="s">
        <v>507</v>
      </c>
      <c r="F7" s="43"/>
      <c r="G7" s="43"/>
      <c r="H7" s="43"/>
      <c r="K7" s="39"/>
      <c r="L7" s="40"/>
      <c r="M7" s="41"/>
      <c r="N7" s="43"/>
      <c r="O7" s="43"/>
      <c r="P7" s="43"/>
      <c r="Q7" s="43"/>
      <c r="R7" s="12"/>
    </row>
    <row r="8" spans="2:18" ht="15" thickBot="1" x14ac:dyDescent="0.4">
      <c r="B8" s="54"/>
      <c r="C8" s="54"/>
      <c r="D8" s="54"/>
      <c r="E8" s="43"/>
      <c r="F8" s="43"/>
      <c r="G8" s="43"/>
      <c r="H8" s="43"/>
    </row>
    <row r="9" spans="2:18" ht="15" thickBot="1" x14ac:dyDescent="0.4">
      <c r="B9" s="48"/>
      <c r="C9" s="48"/>
      <c r="D9" s="48"/>
      <c r="E9" s="48"/>
      <c r="F9" s="48"/>
      <c r="G9" s="48"/>
      <c r="H9" s="48"/>
      <c r="J9" s="10" t="s">
        <v>57</v>
      </c>
      <c r="K9" s="10" t="s">
        <v>58</v>
      </c>
      <c r="L9" s="2" t="s">
        <v>4</v>
      </c>
      <c r="M9" s="2" t="s">
        <v>5</v>
      </c>
      <c r="N9" s="3" t="s">
        <v>6</v>
      </c>
      <c r="O9" s="2" t="s">
        <v>7</v>
      </c>
      <c r="P9" s="2" t="s">
        <v>8</v>
      </c>
      <c r="Q9" s="2" t="s">
        <v>60</v>
      </c>
      <c r="R9" s="2" t="s">
        <v>61</v>
      </c>
    </row>
    <row r="10" spans="2:18" ht="15" thickBot="1" x14ac:dyDescent="0.4">
      <c r="J10" s="4">
        <v>1</v>
      </c>
      <c r="K10" s="13"/>
      <c r="L10" s="4" t="s">
        <v>323</v>
      </c>
      <c r="M10" s="5">
        <v>113</v>
      </c>
      <c r="N10" s="5" t="s">
        <v>484</v>
      </c>
      <c r="O10" s="23">
        <v>44958</v>
      </c>
      <c r="P10" s="4">
        <v>211</v>
      </c>
      <c r="Q10" s="4">
        <v>1</v>
      </c>
      <c r="R10" s="4">
        <f>P10*Q10</f>
        <v>211</v>
      </c>
    </row>
    <row r="11" spans="2:18" ht="15" thickBot="1" x14ac:dyDescent="0.4">
      <c r="B11" s="1" t="s">
        <v>508</v>
      </c>
      <c r="G11" s="1"/>
      <c r="H11" s="13" t="s">
        <v>509</v>
      </c>
      <c r="J11" s="4"/>
      <c r="K11" s="10"/>
      <c r="L11" s="14" t="s">
        <v>33</v>
      </c>
      <c r="M11" s="15">
        <v>713</v>
      </c>
      <c r="N11" s="15" t="s">
        <v>16</v>
      </c>
      <c r="O11" s="24">
        <v>45170</v>
      </c>
      <c r="P11" s="15">
        <v>176</v>
      </c>
      <c r="Q11" s="4">
        <v>1</v>
      </c>
      <c r="R11" s="4">
        <f t="shared" ref="R11:R26" si="0">P11*Q11</f>
        <v>176</v>
      </c>
    </row>
    <row r="12" spans="2:18" ht="15" thickBot="1" x14ac:dyDescent="0.4">
      <c r="J12" s="4"/>
      <c r="K12" s="4"/>
      <c r="L12" s="4" t="s">
        <v>153</v>
      </c>
      <c r="M12" s="5" t="s">
        <v>154</v>
      </c>
      <c r="N12" s="5" t="s">
        <v>155</v>
      </c>
      <c r="O12" s="21">
        <v>45072</v>
      </c>
      <c r="P12" s="4">
        <v>2.78</v>
      </c>
      <c r="Q12" s="4">
        <v>5</v>
      </c>
      <c r="R12" s="4">
        <v>13.9</v>
      </c>
    </row>
    <row r="13" spans="2:18" ht="15" thickBot="1" x14ac:dyDescent="0.4">
      <c r="B13" s="2" t="s">
        <v>4</v>
      </c>
      <c r="C13" s="2" t="s">
        <v>5</v>
      </c>
      <c r="D13" s="3" t="s">
        <v>6</v>
      </c>
      <c r="E13" s="2" t="s">
        <v>7</v>
      </c>
      <c r="F13" s="2" t="s">
        <v>8</v>
      </c>
      <c r="G13" s="2" t="s">
        <v>9</v>
      </c>
      <c r="H13" s="2" t="s">
        <v>10</v>
      </c>
      <c r="J13" s="4"/>
      <c r="K13" s="4"/>
      <c r="L13" s="4" t="s">
        <v>183</v>
      </c>
      <c r="M13" s="5">
        <v>1062</v>
      </c>
      <c r="N13" s="5" t="s">
        <v>16</v>
      </c>
      <c r="O13" s="23">
        <v>46143</v>
      </c>
      <c r="P13" s="4">
        <v>167</v>
      </c>
      <c r="Q13" s="4">
        <v>1</v>
      </c>
      <c r="R13" s="4">
        <v>167</v>
      </c>
    </row>
    <row r="14" spans="2:18" ht="15" thickBot="1" x14ac:dyDescent="0.4">
      <c r="B14" s="4" t="s">
        <v>323</v>
      </c>
      <c r="C14" s="5">
        <v>113</v>
      </c>
      <c r="D14" s="5" t="s">
        <v>484</v>
      </c>
      <c r="E14" s="23">
        <v>44958</v>
      </c>
      <c r="F14" s="4">
        <v>211</v>
      </c>
      <c r="G14" s="4">
        <v>1</v>
      </c>
      <c r="H14" s="4">
        <f>F14*G14</f>
        <v>211</v>
      </c>
      <c r="J14" s="4"/>
      <c r="K14" s="4"/>
      <c r="L14" s="14" t="s">
        <v>460</v>
      </c>
      <c r="M14" s="15" t="s">
        <v>334</v>
      </c>
      <c r="N14" s="15" t="s">
        <v>16</v>
      </c>
      <c r="O14" s="24">
        <v>45839</v>
      </c>
      <c r="P14" s="15">
        <v>289</v>
      </c>
      <c r="Q14" s="4">
        <v>1</v>
      </c>
      <c r="R14" s="4">
        <v>289</v>
      </c>
    </row>
    <row r="15" spans="2:18" ht="15" thickBot="1" x14ac:dyDescent="0.4">
      <c r="B15" s="14" t="s">
        <v>33</v>
      </c>
      <c r="C15" s="15">
        <v>713</v>
      </c>
      <c r="D15" s="15" t="s">
        <v>16</v>
      </c>
      <c r="E15" s="24">
        <v>45170</v>
      </c>
      <c r="F15" s="15">
        <v>176</v>
      </c>
      <c r="G15" s="4">
        <v>1</v>
      </c>
      <c r="H15" s="4">
        <f t="shared" ref="H15:H38" si="1">F15*G15</f>
        <v>176</v>
      </c>
      <c r="J15" s="4"/>
      <c r="K15" s="4"/>
      <c r="L15" s="4" t="s">
        <v>332</v>
      </c>
      <c r="M15" s="5">
        <v>484</v>
      </c>
      <c r="N15" s="5" t="s">
        <v>334</v>
      </c>
      <c r="O15" s="23">
        <v>45352</v>
      </c>
      <c r="P15" s="4">
        <v>39.299999999999997</v>
      </c>
      <c r="Q15" s="4">
        <v>1</v>
      </c>
      <c r="R15" s="4">
        <f t="shared" si="0"/>
        <v>39.299999999999997</v>
      </c>
    </row>
    <row r="16" spans="2:18" ht="15" thickBot="1" x14ac:dyDescent="0.4">
      <c r="B16" s="4" t="s">
        <v>153</v>
      </c>
      <c r="C16" s="5" t="s">
        <v>154</v>
      </c>
      <c r="D16" s="5" t="s">
        <v>155</v>
      </c>
      <c r="E16" s="21">
        <v>45072</v>
      </c>
      <c r="F16" s="4">
        <v>2.78</v>
      </c>
      <c r="G16" s="4">
        <v>5</v>
      </c>
      <c r="H16" s="4">
        <v>13.9</v>
      </c>
      <c r="J16" s="4"/>
      <c r="K16" s="4"/>
      <c r="L16" s="4" t="s">
        <v>194</v>
      </c>
      <c r="M16" s="5">
        <v>2026</v>
      </c>
      <c r="N16" s="5" t="s">
        <v>13</v>
      </c>
      <c r="O16" s="23">
        <v>36526</v>
      </c>
      <c r="P16" s="4">
        <v>90</v>
      </c>
      <c r="Q16" s="4">
        <v>1</v>
      </c>
      <c r="R16" s="4">
        <f t="shared" si="0"/>
        <v>90</v>
      </c>
    </row>
    <row r="17" spans="2:18" ht="15" thickBot="1" x14ac:dyDescent="0.4">
      <c r="B17" s="4" t="s">
        <v>183</v>
      </c>
      <c r="C17" s="5">
        <v>1062</v>
      </c>
      <c r="D17" s="5" t="s">
        <v>16</v>
      </c>
      <c r="E17" s="23">
        <v>46143</v>
      </c>
      <c r="F17" s="4">
        <v>167</v>
      </c>
      <c r="G17" s="4">
        <v>1</v>
      </c>
      <c r="H17" s="4">
        <v>167</v>
      </c>
      <c r="J17" s="4"/>
      <c r="K17" s="4"/>
      <c r="L17" s="4" t="s">
        <v>168</v>
      </c>
      <c r="M17" s="5">
        <v>20017</v>
      </c>
      <c r="N17" s="5" t="s">
        <v>170</v>
      </c>
      <c r="O17" s="23">
        <v>45536</v>
      </c>
      <c r="P17" s="4">
        <v>76.86</v>
      </c>
      <c r="Q17" s="4">
        <v>1</v>
      </c>
      <c r="R17" s="4">
        <f t="shared" si="0"/>
        <v>76.86</v>
      </c>
    </row>
    <row r="18" spans="2:18" ht="15" thickBot="1" x14ac:dyDescent="0.4">
      <c r="B18" s="14" t="s">
        <v>460</v>
      </c>
      <c r="C18" s="15" t="s">
        <v>334</v>
      </c>
      <c r="D18" s="15" t="s">
        <v>16</v>
      </c>
      <c r="E18" s="24">
        <v>45839</v>
      </c>
      <c r="F18" s="15">
        <v>289</v>
      </c>
      <c r="G18" s="4">
        <v>1</v>
      </c>
      <c r="H18" s="4">
        <v>289</v>
      </c>
      <c r="J18" s="4"/>
      <c r="K18" s="4"/>
      <c r="L18" s="14" t="s">
        <v>73</v>
      </c>
      <c r="M18" s="15" t="s">
        <v>74</v>
      </c>
      <c r="N18" s="15" t="s">
        <v>29</v>
      </c>
      <c r="O18" s="24">
        <v>44984</v>
      </c>
      <c r="P18" s="15">
        <v>23</v>
      </c>
      <c r="Q18" s="4">
        <v>1</v>
      </c>
      <c r="R18" s="4">
        <v>23</v>
      </c>
    </row>
    <row r="19" spans="2:18" ht="15" thickBot="1" x14ac:dyDescent="0.4">
      <c r="B19" s="4" t="s">
        <v>332</v>
      </c>
      <c r="C19" s="5">
        <v>484</v>
      </c>
      <c r="D19" s="5" t="s">
        <v>334</v>
      </c>
      <c r="E19" s="23">
        <v>45352</v>
      </c>
      <c r="F19" s="4">
        <v>39.299999999999997</v>
      </c>
      <c r="G19" s="4">
        <v>1</v>
      </c>
      <c r="H19" s="4">
        <f t="shared" si="1"/>
        <v>39.299999999999997</v>
      </c>
      <c r="J19" s="4"/>
      <c r="K19" s="4"/>
      <c r="L19" s="14" t="s">
        <v>485</v>
      </c>
      <c r="M19" s="15" t="s">
        <v>293</v>
      </c>
      <c r="N19" s="15" t="s">
        <v>294</v>
      </c>
      <c r="O19" s="24">
        <v>45383</v>
      </c>
      <c r="P19" s="15">
        <v>137.30000000000001</v>
      </c>
      <c r="Q19" s="4"/>
      <c r="R19" s="4">
        <v>137.30000000000001</v>
      </c>
    </row>
    <row r="20" spans="2:18" ht="15" thickBot="1" x14ac:dyDescent="0.4">
      <c r="B20" s="4" t="s">
        <v>194</v>
      </c>
      <c r="C20" s="5">
        <v>2026</v>
      </c>
      <c r="D20" s="5" t="s">
        <v>13</v>
      </c>
      <c r="E20" s="23">
        <v>36526</v>
      </c>
      <c r="F20" s="4">
        <v>90</v>
      </c>
      <c r="G20" s="4">
        <v>1</v>
      </c>
      <c r="H20" s="4">
        <f t="shared" ref="H20" si="2">F20*G20</f>
        <v>90</v>
      </c>
      <c r="J20" s="4"/>
      <c r="K20" s="4"/>
      <c r="L20" s="4" t="s">
        <v>486</v>
      </c>
      <c r="M20" s="5">
        <v>1651</v>
      </c>
      <c r="N20" s="5" t="s">
        <v>92</v>
      </c>
      <c r="O20" s="23">
        <v>45047</v>
      </c>
      <c r="P20" s="4">
        <v>24.64</v>
      </c>
      <c r="Q20" s="4">
        <v>2</v>
      </c>
      <c r="R20" s="4">
        <f t="shared" si="0"/>
        <v>49.28</v>
      </c>
    </row>
    <row r="21" spans="2:18" ht="15" thickBot="1" x14ac:dyDescent="0.4">
      <c r="B21" s="4" t="s">
        <v>168</v>
      </c>
      <c r="C21" s="5">
        <v>20017</v>
      </c>
      <c r="D21" s="5" t="s">
        <v>170</v>
      </c>
      <c r="E21" s="23">
        <v>45536</v>
      </c>
      <c r="F21" s="4">
        <v>76.86</v>
      </c>
      <c r="G21" s="4">
        <v>1</v>
      </c>
      <c r="H21" s="4">
        <f t="shared" si="1"/>
        <v>76.86</v>
      </c>
      <c r="J21" s="4"/>
      <c r="K21" s="4"/>
      <c r="L21" s="14" t="s">
        <v>487</v>
      </c>
      <c r="M21" s="15">
        <v>22004</v>
      </c>
      <c r="N21" s="15" t="s">
        <v>294</v>
      </c>
      <c r="O21" s="24">
        <v>45413</v>
      </c>
      <c r="P21" s="15">
        <v>968.9</v>
      </c>
      <c r="Q21" s="4">
        <v>2</v>
      </c>
      <c r="R21" s="4">
        <f t="shared" si="0"/>
        <v>1937.8</v>
      </c>
    </row>
    <row r="22" spans="2:18" ht="15" thickBot="1" x14ac:dyDescent="0.4">
      <c r="B22" s="14" t="s">
        <v>73</v>
      </c>
      <c r="C22" s="15" t="s">
        <v>74</v>
      </c>
      <c r="D22" s="15" t="s">
        <v>29</v>
      </c>
      <c r="E22" s="24">
        <v>44984</v>
      </c>
      <c r="F22" s="15">
        <v>23</v>
      </c>
      <c r="G22" s="4">
        <v>1</v>
      </c>
      <c r="H22" s="4">
        <v>23</v>
      </c>
      <c r="J22" s="4"/>
      <c r="K22" s="4"/>
      <c r="L22" s="14" t="s">
        <v>232</v>
      </c>
      <c r="M22" s="15">
        <v>505</v>
      </c>
      <c r="N22" s="15" t="s">
        <v>96</v>
      </c>
      <c r="O22" s="24">
        <v>45069</v>
      </c>
      <c r="P22" s="15">
        <v>10.45</v>
      </c>
      <c r="Q22" s="4">
        <v>1</v>
      </c>
      <c r="R22" s="4">
        <f t="shared" si="0"/>
        <v>10.45</v>
      </c>
    </row>
    <row r="23" spans="2:18" ht="15" thickBot="1" x14ac:dyDescent="0.4">
      <c r="B23" s="14" t="s">
        <v>485</v>
      </c>
      <c r="C23" s="15" t="s">
        <v>293</v>
      </c>
      <c r="D23" s="15" t="s">
        <v>294</v>
      </c>
      <c r="E23" s="24">
        <v>45383</v>
      </c>
      <c r="F23" s="15">
        <v>137.30000000000001</v>
      </c>
      <c r="G23" s="4">
        <v>1</v>
      </c>
      <c r="H23" s="4">
        <v>137.30000000000001</v>
      </c>
      <c r="J23" s="4"/>
      <c r="K23" s="4"/>
      <c r="L23" s="4" t="s">
        <v>493</v>
      </c>
      <c r="M23" s="5" t="s">
        <v>494</v>
      </c>
      <c r="N23" s="5" t="s">
        <v>495</v>
      </c>
      <c r="O23" s="23">
        <v>45474</v>
      </c>
      <c r="P23" s="4">
        <v>33.46</v>
      </c>
      <c r="Q23" s="4">
        <v>1</v>
      </c>
      <c r="R23" s="4">
        <f t="shared" si="0"/>
        <v>33.46</v>
      </c>
    </row>
    <row r="24" spans="2:18" ht="15" thickBot="1" x14ac:dyDescent="0.4">
      <c r="B24" s="4" t="s">
        <v>486</v>
      </c>
      <c r="C24" s="5">
        <v>1651</v>
      </c>
      <c r="D24" s="5" t="s">
        <v>92</v>
      </c>
      <c r="E24" s="23">
        <v>45047</v>
      </c>
      <c r="F24" s="4">
        <v>24.64</v>
      </c>
      <c r="G24" s="4">
        <v>2</v>
      </c>
      <c r="H24" s="4">
        <f t="shared" si="1"/>
        <v>49.28</v>
      </c>
      <c r="J24" s="4"/>
      <c r="K24" s="4"/>
      <c r="L24" s="4" t="s">
        <v>205</v>
      </c>
      <c r="M24" s="5">
        <v>160</v>
      </c>
      <c r="N24" s="5" t="s">
        <v>92</v>
      </c>
      <c r="O24" s="23">
        <v>45009</v>
      </c>
      <c r="P24" s="4">
        <v>137.30000000000001</v>
      </c>
      <c r="Q24" s="4">
        <v>1</v>
      </c>
      <c r="R24" s="4">
        <f t="shared" si="0"/>
        <v>137.30000000000001</v>
      </c>
    </row>
    <row r="25" spans="2:18" ht="15" thickBot="1" x14ac:dyDescent="0.4">
      <c r="B25" s="14" t="s">
        <v>487</v>
      </c>
      <c r="C25" s="15">
        <v>22004</v>
      </c>
      <c r="D25" s="15" t="s">
        <v>294</v>
      </c>
      <c r="E25" s="24">
        <v>45413</v>
      </c>
      <c r="F25" s="15">
        <v>968.9</v>
      </c>
      <c r="G25" s="4">
        <v>2</v>
      </c>
      <c r="H25" s="4">
        <f t="shared" si="1"/>
        <v>1937.8</v>
      </c>
      <c r="J25" s="4"/>
      <c r="K25" s="4"/>
      <c r="L25" s="14" t="s">
        <v>355</v>
      </c>
      <c r="M25" s="15" t="s">
        <v>356</v>
      </c>
      <c r="N25" s="15" t="s">
        <v>149</v>
      </c>
      <c r="O25" s="24">
        <v>45627</v>
      </c>
      <c r="P25" s="15">
        <v>37.92</v>
      </c>
      <c r="Q25" s="4">
        <v>2</v>
      </c>
      <c r="R25" s="4">
        <f t="shared" si="0"/>
        <v>75.84</v>
      </c>
    </row>
    <row r="26" spans="2:18" ht="15" thickBot="1" x14ac:dyDescent="0.4">
      <c r="B26" s="14" t="s">
        <v>232</v>
      </c>
      <c r="C26" s="15">
        <v>505</v>
      </c>
      <c r="D26" s="15" t="s">
        <v>96</v>
      </c>
      <c r="E26" s="24">
        <v>45069</v>
      </c>
      <c r="F26" s="15">
        <v>10.45</v>
      </c>
      <c r="G26" s="4">
        <v>1</v>
      </c>
      <c r="H26" s="4">
        <f t="shared" si="1"/>
        <v>10.45</v>
      </c>
      <c r="J26" s="4"/>
      <c r="K26" s="4"/>
      <c r="L26" s="4" t="s">
        <v>114</v>
      </c>
      <c r="M26" s="5">
        <v>49385</v>
      </c>
      <c r="N26" s="5" t="s">
        <v>16</v>
      </c>
      <c r="O26" s="23">
        <v>46235</v>
      </c>
      <c r="P26" s="4">
        <v>179</v>
      </c>
      <c r="Q26" s="4">
        <v>1</v>
      </c>
      <c r="R26" s="4">
        <f t="shared" si="0"/>
        <v>179</v>
      </c>
    </row>
    <row r="27" spans="2:18" ht="15" thickBot="1" x14ac:dyDescent="0.4">
      <c r="B27" s="4" t="s">
        <v>493</v>
      </c>
      <c r="C27" s="5" t="s">
        <v>494</v>
      </c>
      <c r="D27" s="5" t="s">
        <v>495</v>
      </c>
      <c r="E27" s="23">
        <v>45474</v>
      </c>
      <c r="F27" s="4">
        <v>33.46</v>
      </c>
      <c r="G27" s="4">
        <v>1</v>
      </c>
      <c r="H27" s="4">
        <f t="shared" si="1"/>
        <v>33.46</v>
      </c>
      <c r="J27" s="4"/>
      <c r="K27" s="4"/>
      <c r="L27" s="4"/>
      <c r="M27" s="5"/>
      <c r="N27" s="5"/>
      <c r="O27" s="21"/>
      <c r="P27" s="4"/>
      <c r="Q27" s="4"/>
      <c r="R27" s="4">
        <v>3646.49</v>
      </c>
    </row>
    <row r="28" spans="2:18" ht="15" thickBot="1" x14ac:dyDescent="0.4">
      <c r="B28" s="4" t="s">
        <v>205</v>
      </c>
      <c r="C28" s="5">
        <v>160</v>
      </c>
      <c r="D28" s="5" t="s">
        <v>92</v>
      </c>
      <c r="E28" s="23">
        <v>45009</v>
      </c>
      <c r="F28" s="4">
        <v>137.30000000000001</v>
      </c>
      <c r="G28" s="4">
        <v>1</v>
      </c>
      <c r="H28" s="4">
        <f t="shared" si="1"/>
        <v>137.30000000000001</v>
      </c>
      <c r="J28" s="4"/>
      <c r="K28" s="4"/>
      <c r="L28" s="4"/>
      <c r="M28" s="5"/>
      <c r="N28" s="5"/>
      <c r="O28" s="6"/>
      <c r="P28" s="4"/>
      <c r="Q28" s="4"/>
      <c r="R28" s="4"/>
    </row>
    <row r="29" spans="2:18" ht="15" thickBot="1" x14ac:dyDescent="0.4">
      <c r="B29" s="14" t="s">
        <v>355</v>
      </c>
      <c r="C29" s="15" t="s">
        <v>356</v>
      </c>
      <c r="D29" s="15" t="s">
        <v>149</v>
      </c>
      <c r="E29" s="24">
        <v>45627</v>
      </c>
      <c r="F29" s="15">
        <v>37.92</v>
      </c>
      <c r="G29" s="4">
        <v>2</v>
      </c>
      <c r="H29" s="4">
        <f t="shared" si="1"/>
        <v>75.84</v>
      </c>
      <c r="J29" s="4"/>
      <c r="K29" s="4"/>
      <c r="L29" s="7"/>
      <c r="M29" s="5"/>
      <c r="N29" s="5"/>
      <c r="O29" s="6"/>
      <c r="P29" s="4"/>
      <c r="Q29" s="4"/>
      <c r="R29" s="4"/>
    </row>
    <row r="30" spans="2:18" ht="15" thickBot="1" x14ac:dyDescent="0.4">
      <c r="B30" s="4" t="s">
        <v>114</v>
      </c>
      <c r="C30" s="5">
        <v>49385</v>
      </c>
      <c r="D30" s="5" t="s">
        <v>16</v>
      </c>
      <c r="E30" s="23">
        <v>46235</v>
      </c>
      <c r="F30" s="4">
        <v>179</v>
      </c>
      <c r="G30" s="4">
        <v>1</v>
      </c>
      <c r="H30" s="4">
        <f t="shared" si="1"/>
        <v>179</v>
      </c>
      <c r="J30" s="4"/>
      <c r="K30" s="4"/>
      <c r="L30" s="7"/>
      <c r="M30" s="5"/>
      <c r="N30" s="5"/>
      <c r="O30" s="6"/>
      <c r="P30" s="4"/>
      <c r="Q30" s="8"/>
      <c r="R30" s="9"/>
    </row>
    <row r="31" spans="2:18" ht="15" thickBot="1" x14ac:dyDescent="0.4">
      <c r="B31" s="14"/>
      <c r="C31" s="15"/>
      <c r="D31" s="15"/>
      <c r="E31" s="24"/>
      <c r="F31" s="15"/>
      <c r="G31" s="4"/>
      <c r="H31" s="4">
        <f t="shared" si="1"/>
        <v>0</v>
      </c>
      <c r="J31" s="4"/>
      <c r="K31" s="4"/>
      <c r="L31" s="4"/>
      <c r="M31" s="5"/>
      <c r="N31" s="5"/>
      <c r="O31" s="6"/>
      <c r="P31" s="4"/>
      <c r="Q31" s="8"/>
      <c r="R31" s="4"/>
    </row>
    <row r="32" spans="2:18" ht="15" thickBot="1" x14ac:dyDescent="0.4">
      <c r="B32" s="4"/>
      <c r="C32" s="5"/>
      <c r="D32" s="5"/>
      <c r="E32" s="23"/>
      <c r="F32" s="4"/>
      <c r="G32" s="4"/>
      <c r="H32" s="4">
        <f t="shared" si="1"/>
        <v>0</v>
      </c>
      <c r="J32" s="4"/>
      <c r="K32" s="4"/>
      <c r="L32" s="7"/>
      <c r="M32" s="5"/>
      <c r="N32" s="5"/>
      <c r="O32" s="6"/>
      <c r="P32" s="4"/>
      <c r="Q32" s="8"/>
      <c r="R32" s="4"/>
    </row>
    <row r="33" spans="2:18" ht="15" thickBot="1" x14ac:dyDescent="0.4">
      <c r="B33" s="4"/>
      <c r="C33" s="5"/>
      <c r="D33" s="5"/>
      <c r="E33" s="6"/>
      <c r="F33" s="4"/>
      <c r="G33" s="4"/>
      <c r="H33" s="4">
        <f t="shared" si="1"/>
        <v>0</v>
      </c>
      <c r="J33" s="4"/>
      <c r="K33" s="4"/>
      <c r="L33" s="4"/>
      <c r="M33" s="5"/>
      <c r="N33" s="5"/>
      <c r="O33" s="6"/>
      <c r="P33" s="4"/>
      <c r="Q33" s="8"/>
      <c r="R33" s="4"/>
    </row>
    <row r="34" spans="2:18" ht="15" thickBot="1" x14ac:dyDescent="0.4">
      <c r="B34" s="4"/>
      <c r="C34" s="5"/>
      <c r="D34" s="5"/>
      <c r="E34" s="23"/>
      <c r="F34" s="4"/>
      <c r="G34" s="8"/>
      <c r="H34" s="4">
        <f t="shared" si="1"/>
        <v>0</v>
      </c>
      <c r="J34" s="4"/>
      <c r="K34" s="4"/>
      <c r="L34" s="7"/>
      <c r="M34" s="5"/>
      <c r="N34" s="5"/>
      <c r="O34" s="6"/>
      <c r="P34" s="4"/>
      <c r="Q34" s="8"/>
      <c r="R34" s="4"/>
    </row>
    <row r="35" spans="2:18" ht="15" thickBot="1" x14ac:dyDescent="0.4">
      <c r="B35" s="14"/>
      <c r="C35" s="15"/>
      <c r="D35" s="15"/>
      <c r="E35" s="24"/>
      <c r="F35" s="15"/>
      <c r="G35" s="8"/>
      <c r="H35" s="4">
        <f t="shared" si="1"/>
        <v>0</v>
      </c>
      <c r="J35" s="4"/>
      <c r="K35" s="4"/>
      <c r="L35" s="4"/>
      <c r="M35" s="5"/>
      <c r="N35" s="5"/>
      <c r="O35" s="6"/>
      <c r="P35" s="4"/>
      <c r="Q35" s="4"/>
      <c r="R35" s="4"/>
    </row>
    <row r="36" spans="2:18" ht="15" thickBot="1" x14ac:dyDescent="0.4">
      <c r="B36" s="4"/>
      <c r="C36" s="5"/>
      <c r="D36" s="5"/>
      <c r="E36" s="23"/>
      <c r="F36" s="4"/>
      <c r="G36" s="8"/>
      <c r="H36" s="4">
        <f t="shared" si="1"/>
        <v>0</v>
      </c>
      <c r="J36" s="4"/>
      <c r="K36" s="4"/>
      <c r="L36" s="4"/>
      <c r="M36" s="5"/>
      <c r="N36" s="5"/>
      <c r="O36" s="21"/>
      <c r="P36" s="4"/>
      <c r="Q36" s="4"/>
      <c r="R36" s="4"/>
    </row>
    <row r="37" spans="2:18" ht="15" thickBot="1" x14ac:dyDescent="0.4">
      <c r="B37" s="4"/>
      <c r="C37" s="5"/>
      <c r="D37" s="5"/>
      <c r="E37" s="6"/>
      <c r="F37" s="4"/>
      <c r="G37" s="8"/>
      <c r="H37" s="4">
        <f t="shared" si="1"/>
        <v>0</v>
      </c>
      <c r="J37" s="4"/>
      <c r="K37" s="4"/>
      <c r="L37" s="4"/>
      <c r="M37" s="5"/>
      <c r="N37" s="5"/>
      <c r="O37" s="21"/>
      <c r="P37" s="4"/>
      <c r="Q37" s="4"/>
      <c r="R37" s="4"/>
    </row>
    <row r="38" spans="2:18" ht="15" thickBot="1" x14ac:dyDescent="0.4">
      <c r="B38" s="4"/>
      <c r="C38" s="5"/>
      <c r="D38" s="5"/>
      <c r="E38" s="23"/>
      <c r="F38" s="4"/>
      <c r="G38" s="8"/>
      <c r="H38" s="4">
        <f t="shared" si="1"/>
        <v>0</v>
      </c>
      <c r="J38" s="4"/>
      <c r="K38" s="4"/>
      <c r="L38" s="4"/>
      <c r="M38" s="5"/>
      <c r="N38" s="5"/>
      <c r="O38" s="6"/>
      <c r="P38" s="4"/>
      <c r="Q38" s="4"/>
      <c r="R38" s="4"/>
    </row>
    <row r="39" spans="2:18" ht="15" thickBot="1" x14ac:dyDescent="0.4">
      <c r="B39" s="55" t="s">
        <v>50</v>
      </c>
      <c r="C39" s="56"/>
      <c r="D39" s="56"/>
      <c r="E39" s="56"/>
      <c r="F39" s="56"/>
      <c r="G39" s="56"/>
      <c r="H39" s="9">
        <f>SUM(H14:H38)</f>
        <v>3646.49</v>
      </c>
      <c r="J39" s="4"/>
      <c r="K39" s="4"/>
      <c r="L39" s="4"/>
      <c r="M39" s="5"/>
      <c r="N39" s="5"/>
      <c r="O39" s="6"/>
      <c r="P39" s="4"/>
      <c r="Q39" s="18"/>
      <c r="R39" s="18"/>
    </row>
    <row r="40" spans="2:18" ht="15" thickBot="1" x14ac:dyDescent="0.4">
      <c r="B40" s="9" t="s">
        <v>51</v>
      </c>
      <c r="C40" s="53" t="str">
        <f>ConvertCurrencyToEnglish(H39)</f>
        <v>Rupees Three Thousand Six Hundred Forty Six and Forty Nine Paise Only</v>
      </c>
      <c r="D40" s="53"/>
      <c r="E40" s="53"/>
      <c r="F40" s="53"/>
      <c r="G40" s="53"/>
      <c r="H40" s="53"/>
      <c r="J40" s="4"/>
      <c r="K40" s="4"/>
      <c r="L40" s="4"/>
      <c r="M40" s="5"/>
      <c r="N40" s="5"/>
      <c r="O40" s="6"/>
      <c r="P40" s="4"/>
      <c r="Q40" s="4"/>
      <c r="R40" s="4"/>
    </row>
    <row r="41" spans="2:18" ht="15" thickBot="1" x14ac:dyDescent="0.4">
      <c r="B41" s="57" t="s">
        <v>52</v>
      </c>
      <c r="C41" s="57"/>
      <c r="D41" s="57"/>
      <c r="E41" s="57"/>
      <c r="F41" s="57"/>
      <c r="G41" s="57"/>
      <c r="H41" s="10">
        <f>H39/1.12</f>
        <v>3255.7946428571422</v>
      </c>
      <c r="J41" s="4"/>
      <c r="K41" s="4"/>
      <c r="L41" s="4"/>
      <c r="M41" s="5"/>
      <c r="N41" s="5"/>
      <c r="O41" s="6"/>
      <c r="P41" s="4"/>
      <c r="Q41" s="4"/>
      <c r="R41" s="4"/>
    </row>
    <row r="42" spans="2:18" ht="15" thickBot="1" x14ac:dyDescent="0.4">
      <c r="B42" s="57" t="s">
        <v>53</v>
      </c>
      <c r="C42" s="57"/>
      <c r="D42" s="57"/>
      <c r="E42" s="57"/>
      <c r="F42" s="57"/>
      <c r="G42" s="57"/>
      <c r="H42" s="10">
        <f>(H39-H41)/2</f>
        <v>195.34767857142879</v>
      </c>
      <c r="J42" s="4"/>
      <c r="K42" s="4"/>
      <c r="L42" s="4"/>
      <c r="M42" s="5"/>
      <c r="N42" s="5"/>
      <c r="O42" s="6"/>
      <c r="P42" s="4"/>
      <c r="Q42" s="4"/>
      <c r="R42" s="4"/>
    </row>
    <row r="43" spans="2:18" ht="15" thickBot="1" x14ac:dyDescent="0.4">
      <c r="B43" s="57" t="s">
        <v>54</v>
      </c>
      <c r="C43" s="57"/>
      <c r="D43" s="57"/>
      <c r="E43" s="57"/>
      <c r="F43" s="57"/>
      <c r="G43" s="57"/>
      <c r="H43" s="10">
        <f>(H39-H41)/2</f>
        <v>195.34767857142879</v>
      </c>
      <c r="J43" s="4"/>
      <c r="K43" s="4"/>
      <c r="L43" s="4"/>
      <c r="M43" s="5"/>
      <c r="N43" s="5"/>
      <c r="O43" s="6"/>
      <c r="P43" s="4"/>
      <c r="Q43" s="4"/>
      <c r="R43" s="4"/>
    </row>
    <row r="44" spans="2:18" ht="15" thickBot="1" x14ac:dyDescent="0.4">
      <c r="J44" s="4"/>
      <c r="K44" s="4"/>
      <c r="L44" s="4"/>
      <c r="M44" s="5"/>
      <c r="N44" s="5"/>
      <c r="O44" s="21"/>
      <c r="P44" s="4"/>
      <c r="Q44" s="4"/>
      <c r="R44" s="4"/>
    </row>
    <row r="45" spans="2:18" ht="15" thickBot="1" x14ac:dyDescent="0.4">
      <c r="J45" s="4"/>
      <c r="K45" s="4"/>
      <c r="L45" s="4"/>
      <c r="M45" s="5"/>
      <c r="N45" s="5"/>
      <c r="O45" s="6"/>
      <c r="P45" s="4"/>
      <c r="Q45" s="4"/>
      <c r="R45" s="4"/>
    </row>
    <row r="46" spans="2:18" ht="15" thickBot="1" x14ac:dyDescent="0.4">
      <c r="J46" s="4"/>
      <c r="K46" s="4"/>
      <c r="L46" s="4"/>
      <c r="M46" s="5"/>
      <c r="N46" s="5"/>
      <c r="O46" s="6"/>
      <c r="P46" s="4"/>
      <c r="Q46" s="4"/>
      <c r="R46" s="4"/>
    </row>
    <row r="47" spans="2:18" ht="15" thickBot="1" x14ac:dyDescent="0.4">
      <c r="B47" s="58" t="s">
        <v>55</v>
      </c>
      <c r="C47" s="59"/>
      <c r="D47" s="59"/>
      <c r="E47" s="59"/>
      <c r="H47" s="60" t="s">
        <v>56</v>
      </c>
      <c r="J47" s="4"/>
      <c r="K47" s="4"/>
      <c r="L47" s="4"/>
      <c r="M47" s="4"/>
      <c r="N47" s="4"/>
      <c r="O47" s="4"/>
      <c r="P47" s="4"/>
      <c r="Q47" s="4"/>
      <c r="R47" s="4"/>
    </row>
    <row r="48" spans="2:18" x14ac:dyDescent="0.35">
      <c r="B48" s="59"/>
      <c r="C48" s="59"/>
      <c r="D48" s="59"/>
      <c r="E48" s="59"/>
      <c r="H48" s="60"/>
    </row>
    <row r="51" spans="2:18" ht="15" thickBot="1" x14ac:dyDescent="0.4"/>
    <row r="52" spans="2:18" ht="14.5" customHeight="1" x14ac:dyDescent="0.35">
      <c r="B52" s="44" t="s">
        <v>62</v>
      </c>
      <c r="C52" s="45"/>
      <c r="D52" s="45"/>
      <c r="E52" s="45"/>
      <c r="F52" s="45"/>
      <c r="G52" s="45"/>
      <c r="H52" s="46"/>
      <c r="J52" s="11"/>
      <c r="K52" s="27" t="s">
        <v>59</v>
      </c>
      <c r="L52" s="28"/>
      <c r="M52" s="28"/>
      <c r="N52" s="28"/>
      <c r="O52" s="28"/>
      <c r="P52" s="28"/>
      <c r="Q52" s="29"/>
      <c r="R52" s="11"/>
    </row>
    <row r="53" spans="2:18" ht="15.5" x14ac:dyDescent="0.35">
      <c r="B53" s="47"/>
      <c r="C53" s="48"/>
      <c r="D53" s="48"/>
      <c r="E53" s="48"/>
      <c r="F53" s="48"/>
      <c r="G53" s="48"/>
      <c r="H53" s="49"/>
      <c r="J53" s="11"/>
      <c r="K53" s="30"/>
      <c r="L53" s="31"/>
      <c r="M53" s="31"/>
      <c r="N53" s="31"/>
      <c r="O53" s="31"/>
      <c r="P53" s="31"/>
      <c r="Q53" s="32"/>
      <c r="R53" s="11"/>
    </row>
    <row r="54" spans="2:18" ht="16" thickBot="1" x14ac:dyDescent="0.4">
      <c r="B54" s="47"/>
      <c r="C54" s="48"/>
      <c r="D54" s="48"/>
      <c r="E54" s="48"/>
      <c r="F54" s="48"/>
      <c r="G54" s="48"/>
      <c r="H54" s="49"/>
      <c r="J54" s="11"/>
      <c r="K54" s="33"/>
      <c r="L54" s="34"/>
      <c r="M54" s="34"/>
      <c r="N54" s="34"/>
      <c r="O54" s="34"/>
      <c r="P54" s="34"/>
      <c r="Q54" s="35"/>
      <c r="R54" s="11"/>
    </row>
    <row r="55" spans="2:18" ht="15" thickBot="1" x14ac:dyDescent="0.4">
      <c r="B55" s="50"/>
      <c r="C55" s="51"/>
      <c r="D55" s="51"/>
      <c r="E55" s="51"/>
      <c r="F55" s="51"/>
      <c r="G55" s="51"/>
      <c r="H55" s="52"/>
    </row>
    <row r="56" spans="2:18" ht="15" thickBot="1" x14ac:dyDescent="0.4">
      <c r="K56" s="36" t="s">
        <v>1</v>
      </c>
      <c r="L56" s="37"/>
      <c r="M56" s="38"/>
      <c r="N56" s="42" t="str">
        <f>E7</f>
        <v>KABITA GOGOI(ESIC/S.H.R.C.)</v>
      </c>
      <c r="O56" s="43"/>
      <c r="P56" s="43"/>
      <c r="Q56" s="43"/>
      <c r="R56" s="12"/>
    </row>
    <row r="57" spans="2:18" ht="15" thickBot="1" x14ac:dyDescent="0.4">
      <c r="B57" s="54" t="s">
        <v>1</v>
      </c>
      <c r="C57" s="54"/>
      <c r="D57" s="54"/>
      <c r="E57" s="42" t="str">
        <f>E7</f>
        <v>KABITA GOGOI(ESIC/S.H.R.C.)</v>
      </c>
      <c r="F57" s="43"/>
      <c r="G57" s="43"/>
      <c r="H57" s="43"/>
      <c r="K57" s="39"/>
      <c r="L57" s="40"/>
      <c r="M57" s="41"/>
      <c r="N57" s="43"/>
      <c r="O57" s="43"/>
      <c r="P57" s="43"/>
      <c r="Q57" s="43"/>
      <c r="R57" s="12"/>
    </row>
    <row r="58" spans="2:18" ht="15" thickBot="1" x14ac:dyDescent="0.4">
      <c r="B58" s="54"/>
      <c r="C58" s="54"/>
      <c r="D58" s="54"/>
      <c r="E58" s="43"/>
      <c r="F58" s="43"/>
      <c r="G58" s="43"/>
      <c r="H58" s="43"/>
    </row>
    <row r="59" spans="2:18" ht="15" thickBot="1" x14ac:dyDescent="0.4">
      <c r="B59" s="48"/>
      <c r="C59" s="48"/>
      <c r="D59" s="48"/>
      <c r="E59" s="48"/>
      <c r="F59" s="48"/>
      <c r="G59" s="48"/>
      <c r="H59" s="48"/>
      <c r="J59" s="10" t="s">
        <v>57</v>
      </c>
      <c r="K59" s="10" t="s">
        <v>58</v>
      </c>
      <c r="L59" s="2" t="s">
        <v>4</v>
      </c>
      <c r="M59" s="2" t="s">
        <v>5</v>
      </c>
      <c r="N59" s="3" t="s">
        <v>6</v>
      </c>
      <c r="O59" s="2" t="s">
        <v>7</v>
      </c>
      <c r="P59" s="2" t="s">
        <v>8</v>
      </c>
      <c r="Q59" s="2" t="s">
        <v>60</v>
      </c>
      <c r="R59" s="2" t="s">
        <v>61</v>
      </c>
    </row>
    <row r="60" spans="2:18" ht="15" thickBot="1" x14ac:dyDescent="0.4">
      <c r="J60" s="4">
        <v>2</v>
      </c>
      <c r="K60" s="13"/>
      <c r="L60" s="4" t="s">
        <v>30</v>
      </c>
      <c r="M60" s="5" t="s">
        <v>31</v>
      </c>
      <c r="N60" s="5" t="s">
        <v>32</v>
      </c>
      <c r="O60" s="6">
        <v>44984</v>
      </c>
      <c r="P60" s="4">
        <v>211</v>
      </c>
      <c r="Q60" s="4">
        <v>1</v>
      </c>
      <c r="R60" s="4">
        <f>P60*Q60</f>
        <v>211</v>
      </c>
    </row>
    <row r="61" spans="2:18" ht="15" thickBot="1" x14ac:dyDescent="0.4">
      <c r="B61" s="1" t="s">
        <v>508</v>
      </c>
      <c r="G61" s="1"/>
      <c r="H61" s="13" t="s">
        <v>510</v>
      </c>
      <c r="J61" s="4"/>
      <c r="K61" s="10"/>
      <c r="L61" s="4" t="s">
        <v>405</v>
      </c>
      <c r="M61" s="5" t="s">
        <v>406</v>
      </c>
      <c r="N61" s="5" t="s">
        <v>149</v>
      </c>
      <c r="O61" s="6">
        <v>46113</v>
      </c>
      <c r="P61" s="4">
        <v>154</v>
      </c>
      <c r="Q61" s="4">
        <v>1</v>
      </c>
      <c r="R61" s="4">
        <f t="shared" ref="R61:R82" si="3">P61*Q61</f>
        <v>154</v>
      </c>
    </row>
    <row r="62" spans="2:18" ht="15" thickBot="1" x14ac:dyDescent="0.4">
      <c r="J62" s="4"/>
      <c r="K62" s="4"/>
      <c r="L62" s="4" t="s">
        <v>481</v>
      </c>
      <c r="M62" s="5">
        <v>13607</v>
      </c>
      <c r="N62" s="5" t="s">
        <v>26</v>
      </c>
      <c r="O62" s="21">
        <v>45078</v>
      </c>
      <c r="P62" s="4">
        <v>30.45</v>
      </c>
      <c r="Q62" s="4">
        <v>1</v>
      </c>
      <c r="R62" s="4">
        <f t="shared" si="3"/>
        <v>30.45</v>
      </c>
    </row>
    <row r="63" spans="2:18" ht="15" thickBot="1" x14ac:dyDescent="0.4">
      <c r="B63" s="2" t="s">
        <v>4</v>
      </c>
      <c r="C63" s="2" t="s">
        <v>5</v>
      </c>
      <c r="D63" s="3" t="s">
        <v>6</v>
      </c>
      <c r="E63" s="2" t="s">
        <v>7</v>
      </c>
      <c r="F63" s="2" t="s">
        <v>8</v>
      </c>
      <c r="G63" s="2" t="s">
        <v>9</v>
      </c>
      <c r="H63" s="2" t="s">
        <v>10</v>
      </c>
      <c r="J63" s="4"/>
      <c r="K63" s="4"/>
      <c r="L63" s="4" t="s">
        <v>194</v>
      </c>
      <c r="M63" s="5">
        <v>2026</v>
      </c>
      <c r="N63" s="5" t="s">
        <v>13</v>
      </c>
      <c r="O63" s="23">
        <v>36526</v>
      </c>
      <c r="P63" s="4">
        <v>90</v>
      </c>
      <c r="Q63" s="4">
        <v>6</v>
      </c>
      <c r="R63" s="4">
        <f t="shared" si="3"/>
        <v>540</v>
      </c>
    </row>
    <row r="64" spans="2:18" ht="15" thickBot="1" x14ac:dyDescent="0.4">
      <c r="B64" s="4" t="s">
        <v>30</v>
      </c>
      <c r="C64" s="5" t="s">
        <v>31</v>
      </c>
      <c r="D64" s="5" t="s">
        <v>32</v>
      </c>
      <c r="E64" s="6">
        <v>44984</v>
      </c>
      <c r="F64" s="4">
        <v>211</v>
      </c>
      <c r="G64" s="4">
        <v>1</v>
      </c>
      <c r="H64" s="4">
        <f>F64*G64</f>
        <v>211</v>
      </c>
      <c r="J64" s="4"/>
      <c r="K64" s="4"/>
      <c r="L64" s="14" t="s">
        <v>153</v>
      </c>
      <c r="M64" s="15" t="s">
        <v>154</v>
      </c>
      <c r="N64" s="15" t="s">
        <v>155</v>
      </c>
      <c r="O64" s="24">
        <v>45072</v>
      </c>
      <c r="P64" s="15">
        <v>2.78</v>
      </c>
      <c r="Q64" s="4">
        <v>3</v>
      </c>
      <c r="R64" s="4">
        <f t="shared" si="3"/>
        <v>8.34</v>
      </c>
    </row>
    <row r="65" spans="2:18" ht="15" thickBot="1" x14ac:dyDescent="0.4">
      <c r="B65" s="4" t="s">
        <v>405</v>
      </c>
      <c r="C65" s="5" t="s">
        <v>406</v>
      </c>
      <c r="D65" s="5" t="s">
        <v>149</v>
      </c>
      <c r="E65" s="6">
        <v>46113</v>
      </c>
      <c r="F65" s="4">
        <v>154</v>
      </c>
      <c r="G65" s="4">
        <v>1</v>
      </c>
      <c r="H65" s="4">
        <f t="shared" ref="H65:H88" si="4">F65*G65</f>
        <v>154</v>
      </c>
      <c r="J65" s="4"/>
      <c r="K65" s="4"/>
      <c r="L65" s="4" t="s">
        <v>47</v>
      </c>
      <c r="M65" s="5">
        <v>2208087</v>
      </c>
      <c r="N65" s="5" t="s">
        <v>482</v>
      </c>
      <c r="O65" s="23">
        <v>45108</v>
      </c>
      <c r="P65" s="4">
        <v>153</v>
      </c>
      <c r="Q65" s="4">
        <v>1</v>
      </c>
      <c r="R65" s="4">
        <f t="shared" si="3"/>
        <v>153</v>
      </c>
    </row>
    <row r="66" spans="2:18" ht="15" thickBot="1" x14ac:dyDescent="0.4">
      <c r="B66" s="4" t="s">
        <v>481</v>
      </c>
      <c r="C66" s="5">
        <v>13607</v>
      </c>
      <c r="D66" s="5" t="s">
        <v>26</v>
      </c>
      <c r="E66" s="21">
        <v>45078</v>
      </c>
      <c r="F66" s="4">
        <v>30.45</v>
      </c>
      <c r="G66" s="4">
        <v>1</v>
      </c>
      <c r="H66" s="4">
        <f t="shared" si="4"/>
        <v>30.45</v>
      </c>
      <c r="J66" s="4"/>
      <c r="K66" s="4"/>
      <c r="L66" s="4" t="s">
        <v>483</v>
      </c>
      <c r="M66" s="5">
        <v>2201</v>
      </c>
      <c r="N66" s="5" t="s">
        <v>224</v>
      </c>
      <c r="O66" s="23">
        <v>45108</v>
      </c>
      <c r="P66" s="4">
        <v>510</v>
      </c>
      <c r="Q66" s="4">
        <v>2</v>
      </c>
      <c r="R66" s="4">
        <f t="shared" si="3"/>
        <v>1020</v>
      </c>
    </row>
    <row r="67" spans="2:18" ht="15" thickBot="1" x14ac:dyDescent="0.4">
      <c r="B67" s="4" t="s">
        <v>194</v>
      </c>
      <c r="C67" s="5">
        <v>2026</v>
      </c>
      <c r="D67" s="5" t="s">
        <v>13</v>
      </c>
      <c r="E67" s="23">
        <v>36526</v>
      </c>
      <c r="F67" s="4">
        <v>90</v>
      </c>
      <c r="G67" s="4">
        <v>6</v>
      </c>
      <c r="H67" s="4">
        <f t="shared" si="4"/>
        <v>540</v>
      </c>
      <c r="J67" s="4"/>
      <c r="K67" s="4"/>
      <c r="L67" s="4" t="s">
        <v>315</v>
      </c>
      <c r="M67" s="5">
        <v>41346</v>
      </c>
      <c r="N67" s="5" t="s">
        <v>143</v>
      </c>
      <c r="O67" s="23">
        <v>45009</v>
      </c>
      <c r="P67" s="4">
        <v>87.5</v>
      </c>
      <c r="Q67" s="4">
        <v>1</v>
      </c>
      <c r="R67" s="4">
        <f t="shared" si="3"/>
        <v>87.5</v>
      </c>
    </row>
    <row r="68" spans="2:18" ht="15" thickBot="1" x14ac:dyDescent="0.4">
      <c r="B68" s="14" t="s">
        <v>153</v>
      </c>
      <c r="C68" s="15" t="s">
        <v>154</v>
      </c>
      <c r="D68" s="15" t="s">
        <v>155</v>
      </c>
      <c r="E68" s="24">
        <v>45072</v>
      </c>
      <c r="F68" s="15">
        <v>2.78</v>
      </c>
      <c r="G68" s="4">
        <v>3</v>
      </c>
      <c r="H68" s="4">
        <f t="shared" si="4"/>
        <v>8.34</v>
      </c>
      <c r="J68" s="4"/>
      <c r="K68" s="4"/>
      <c r="L68" s="14" t="s">
        <v>271</v>
      </c>
      <c r="M68" s="15">
        <v>184</v>
      </c>
      <c r="N68" s="15" t="s">
        <v>92</v>
      </c>
      <c r="O68" s="24">
        <v>44986</v>
      </c>
      <c r="P68" s="15">
        <v>14.51</v>
      </c>
      <c r="Q68" s="4">
        <v>1</v>
      </c>
      <c r="R68" s="4">
        <f t="shared" si="3"/>
        <v>14.51</v>
      </c>
    </row>
    <row r="69" spans="2:18" ht="15" thickBot="1" x14ac:dyDescent="0.4">
      <c r="B69" s="4" t="s">
        <v>47</v>
      </c>
      <c r="C69" s="5">
        <v>2208087</v>
      </c>
      <c r="D69" s="5" t="s">
        <v>482</v>
      </c>
      <c r="E69" s="23">
        <v>45108</v>
      </c>
      <c r="F69" s="4">
        <v>153</v>
      </c>
      <c r="G69" s="4">
        <v>1</v>
      </c>
      <c r="H69" s="4">
        <f t="shared" si="4"/>
        <v>153</v>
      </c>
      <c r="J69" s="4"/>
      <c r="K69" s="4"/>
      <c r="L69" s="14" t="s">
        <v>234</v>
      </c>
      <c r="M69" s="15">
        <v>31051</v>
      </c>
      <c r="N69" s="15" t="s">
        <v>26</v>
      </c>
      <c r="O69" s="24">
        <v>45170</v>
      </c>
      <c r="P69" s="15">
        <v>33.799999999999997</v>
      </c>
      <c r="Q69" s="4">
        <v>1</v>
      </c>
      <c r="R69" s="4">
        <f t="shared" si="3"/>
        <v>33.799999999999997</v>
      </c>
    </row>
    <row r="70" spans="2:18" ht="15" thickBot="1" x14ac:dyDescent="0.4">
      <c r="B70" s="4" t="s">
        <v>483</v>
      </c>
      <c r="C70" s="5">
        <v>2201</v>
      </c>
      <c r="D70" s="5" t="s">
        <v>224</v>
      </c>
      <c r="E70" s="23">
        <v>45108</v>
      </c>
      <c r="F70" s="4">
        <v>510</v>
      </c>
      <c r="G70" s="4">
        <v>2</v>
      </c>
      <c r="H70" s="4">
        <f t="shared" si="4"/>
        <v>1020</v>
      </c>
      <c r="J70" s="4"/>
      <c r="K70" s="4"/>
      <c r="L70" s="4" t="s">
        <v>360</v>
      </c>
      <c r="M70" s="5" t="s">
        <v>361</v>
      </c>
      <c r="N70" s="5" t="s">
        <v>32</v>
      </c>
      <c r="O70" s="23">
        <v>45131</v>
      </c>
      <c r="P70" s="4">
        <v>30.7</v>
      </c>
      <c r="Q70" s="4">
        <v>2</v>
      </c>
      <c r="R70" s="4">
        <f t="shared" si="3"/>
        <v>61.4</v>
      </c>
    </row>
    <row r="71" spans="2:18" ht="15" thickBot="1" x14ac:dyDescent="0.4">
      <c r="B71" s="4" t="s">
        <v>315</v>
      </c>
      <c r="C71" s="5">
        <v>41346</v>
      </c>
      <c r="D71" s="5" t="s">
        <v>143</v>
      </c>
      <c r="E71" s="23">
        <v>45009</v>
      </c>
      <c r="F71" s="4">
        <v>87.5</v>
      </c>
      <c r="G71" s="4">
        <v>1</v>
      </c>
      <c r="H71" s="4">
        <f t="shared" si="4"/>
        <v>87.5</v>
      </c>
      <c r="J71" s="4"/>
      <c r="K71" s="4"/>
      <c r="L71" s="4" t="s">
        <v>393</v>
      </c>
      <c r="M71" s="5" t="s">
        <v>394</v>
      </c>
      <c r="N71" s="5" t="s">
        <v>32</v>
      </c>
      <c r="O71" s="23">
        <v>45170</v>
      </c>
      <c r="P71" s="4">
        <v>56.44</v>
      </c>
      <c r="Q71" s="4">
        <v>1</v>
      </c>
      <c r="R71" s="4">
        <f t="shared" si="3"/>
        <v>56.44</v>
      </c>
    </row>
    <row r="72" spans="2:18" ht="15" thickBot="1" x14ac:dyDescent="0.4">
      <c r="B72" s="14" t="s">
        <v>271</v>
      </c>
      <c r="C72" s="15">
        <v>184</v>
      </c>
      <c r="D72" s="15" t="s">
        <v>92</v>
      </c>
      <c r="E72" s="24">
        <v>44986</v>
      </c>
      <c r="F72" s="15">
        <v>14.51</v>
      </c>
      <c r="G72" s="4">
        <v>1</v>
      </c>
      <c r="H72" s="4">
        <f t="shared" si="4"/>
        <v>14.51</v>
      </c>
      <c r="J72" s="4"/>
      <c r="K72" s="22"/>
      <c r="L72" s="14" t="s">
        <v>485</v>
      </c>
      <c r="M72" s="15" t="s">
        <v>293</v>
      </c>
      <c r="N72" s="15" t="s">
        <v>294</v>
      </c>
      <c r="O72" s="24">
        <v>45383</v>
      </c>
      <c r="P72" s="15">
        <v>137.30000000000001</v>
      </c>
      <c r="Q72" s="4">
        <v>1</v>
      </c>
      <c r="R72" s="4">
        <f t="shared" si="3"/>
        <v>137.30000000000001</v>
      </c>
    </row>
    <row r="73" spans="2:18" ht="15" thickBot="1" x14ac:dyDescent="0.4">
      <c r="B73" s="14" t="s">
        <v>234</v>
      </c>
      <c r="C73" s="15">
        <v>31051</v>
      </c>
      <c r="D73" s="15" t="s">
        <v>26</v>
      </c>
      <c r="E73" s="24">
        <v>45170</v>
      </c>
      <c r="F73" s="15">
        <v>33.799999999999997</v>
      </c>
      <c r="G73" s="4">
        <v>1</v>
      </c>
      <c r="H73" s="4">
        <f t="shared" si="4"/>
        <v>33.799999999999997</v>
      </c>
      <c r="J73" s="4"/>
      <c r="K73" s="4"/>
      <c r="L73" s="4" t="s">
        <v>486</v>
      </c>
      <c r="M73" s="5">
        <v>1651</v>
      </c>
      <c r="N73" s="5" t="s">
        <v>92</v>
      </c>
      <c r="O73" s="23">
        <v>45047</v>
      </c>
      <c r="P73" s="4">
        <v>24.64</v>
      </c>
      <c r="Q73" s="4">
        <v>3</v>
      </c>
      <c r="R73" s="4">
        <f t="shared" si="3"/>
        <v>73.92</v>
      </c>
    </row>
    <row r="74" spans="2:18" ht="15" thickBot="1" x14ac:dyDescent="0.4">
      <c r="B74" s="4" t="s">
        <v>360</v>
      </c>
      <c r="C74" s="5" t="s">
        <v>361</v>
      </c>
      <c r="D74" s="5" t="s">
        <v>32</v>
      </c>
      <c r="E74" s="23">
        <v>45131</v>
      </c>
      <c r="F74" s="4">
        <v>30.7</v>
      </c>
      <c r="G74" s="4">
        <v>2</v>
      </c>
      <c r="H74" s="4">
        <f t="shared" si="4"/>
        <v>61.4</v>
      </c>
      <c r="J74" s="4"/>
      <c r="K74" s="4"/>
      <c r="L74" s="14" t="s">
        <v>487</v>
      </c>
      <c r="M74" s="15">
        <v>22004</v>
      </c>
      <c r="N74" s="15" t="s">
        <v>294</v>
      </c>
      <c r="O74" s="24">
        <v>45413</v>
      </c>
      <c r="P74" s="15">
        <v>968.9</v>
      </c>
      <c r="Q74" s="4">
        <v>3</v>
      </c>
      <c r="R74" s="4">
        <f t="shared" si="3"/>
        <v>2906.7</v>
      </c>
    </row>
    <row r="75" spans="2:18" ht="15" thickBot="1" x14ac:dyDescent="0.4">
      <c r="B75" s="4" t="s">
        <v>393</v>
      </c>
      <c r="C75" s="5" t="s">
        <v>394</v>
      </c>
      <c r="D75" s="5" t="s">
        <v>32</v>
      </c>
      <c r="E75" s="23">
        <v>45170</v>
      </c>
      <c r="F75" s="4">
        <v>56.44</v>
      </c>
      <c r="G75" s="4">
        <v>1</v>
      </c>
      <c r="H75" s="4">
        <f t="shared" si="4"/>
        <v>56.44</v>
      </c>
      <c r="J75" s="4"/>
      <c r="K75" s="4"/>
      <c r="L75" s="4" t="s">
        <v>205</v>
      </c>
      <c r="M75" s="5">
        <v>160</v>
      </c>
      <c r="N75" s="5" t="s">
        <v>92</v>
      </c>
      <c r="O75" s="23">
        <v>45009</v>
      </c>
      <c r="P75" s="4">
        <v>137.30000000000001</v>
      </c>
      <c r="Q75" s="4">
        <v>2</v>
      </c>
      <c r="R75" s="4">
        <f t="shared" si="3"/>
        <v>274.60000000000002</v>
      </c>
    </row>
    <row r="76" spans="2:18" ht="15" thickBot="1" x14ac:dyDescent="0.4">
      <c r="B76" s="14" t="s">
        <v>485</v>
      </c>
      <c r="C76" s="15" t="s">
        <v>293</v>
      </c>
      <c r="D76" s="15" t="s">
        <v>294</v>
      </c>
      <c r="E76" s="24">
        <v>45383</v>
      </c>
      <c r="F76" s="15">
        <v>137.30000000000001</v>
      </c>
      <c r="G76" s="4">
        <v>1</v>
      </c>
      <c r="H76" s="4">
        <f t="shared" si="4"/>
        <v>137.30000000000001</v>
      </c>
      <c r="J76" s="4"/>
      <c r="K76" s="4"/>
      <c r="L76" s="4" t="s">
        <v>493</v>
      </c>
      <c r="M76" s="5" t="s">
        <v>494</v>
      </c>
      <c r="N76" s="5" t="s">
        <v>495</v>
      </c>
      <c r="O76" s="23">
        <v>45474</v>
      </c>
      <c r="P76" s="4">
        <v>33.46</v>
      </c>
      <c r="Q76" s="4">
        <v>2</v>
      </c>
      <c r="R76" s="4">
        <f t="shared" si="3"/>
        <v>66.92</v>
      </c>
    </row>
    <row r="77" spans="2:18" ht="15" thickBot="1" x14ac:dyDescent="0.4">
      <c r="B77" s="4" t="s">
        <v>486</v>
      </c>
      <c r="C77" s="5">
        <v>1651</v>
      </c>
      <c r="D77" s="5" t="s">
        <v>92</v>
      </c>
      <c r="E77" s="23">
        <v>45047</v>
      </c>
      <c r="F77" s="4">
        <v>24.64</v>
      </c>
      <c r="G77" s="4">
        <v>3</v>
      </c>
      <c r="H77" s="4">
        <f t="shared" si="4"/>
        <v>73.92</v>
      </c>
      <c r="J77" s="4"/>
      <c r="K77" s="4"/>
      <c r="L77" s="14" t="s">
        <v>355</v>
      </c>
      <c r="M77" s="15" t="s">
        <v>356</v>
      </c>
      <c r="N77" s="15" t="s">
        <v>149</v>
      </c>
      <c r="O77" s="24">
        <v>45627</v>
      </c>
      <c r="P77" s="15">
        <v>37.92</v>
      </c>
      <c r="Q77" s="4">
        <v>3</v>
      </c>
      <c r="R77" s="4">
        <f t="shared" si="3"/>
        <v>113.76</v>
      </c>
    </row>
    <row r="78" spans="2:18" ht="15" thickBot="1" x14ac:dyDescent="0.4">
      <c r="B78" s="14" t="s">
        <v>487</v>
      </c>
      <c r="C78" s="15">
        <v>22004</v>
      </c>
      <c r="D78" s="15" t="s">
        <v>294</v>
      </c>
      <c r="E78" s="24">
        <v>45413</v>
      </c>
      <c r="F78" s="15">
        <v>968.9</v>
      </c>
      <c r="G78" s="4">
        <v>3</v>
      </c>
      <c r="H78" s="4">
        <f t="shared" si="4"/>
        <v>2906.7</v>
      </c>
      <c r="J78" s="4"/>
      <c r="K78" s="4"/>
      <c r="L78" s="25" t="s">
        <v>159</v>
      </c>
      <c r="M78" s="5" t="s">
        <v>160</v>
      </c>
      <c r="N78" s="5" t="s">
        <v>32</v>
      </c>
      <c r="O78" s="23">
        <v>46235</v>
      </c>
      <c r="P78" s="4">
        <v>38.17</v>
      </c>
      <c r="Q78" s="4">
        <v>1</v>
      </c>
      <c r="R78" s="4">
        <f t="shared" si="3"/>
        <v>38.17</v>
      </c>
    </row>
    <row r="79" spans="2:18" ht="15" thickBot="1" x14ac:dyDescent="0.4">
      <c r="B79" s="4" t="s">
        <v>205</v>
      </c>
      <c r="C79" s="5">
        <v>160</v>
      </c>
      <c r="D79" s="5" t="s">
        <v>92</v>
      </c>
      <c r="E79" s="23">
        <v>45009</v>
      </c>
      <c r="F79" s="4">
        <v>137.30000000000001</v>
      </c>
      <c r="G79" s="4">
        <v>2</v>
      </c>
      <c r="H79" s="4">
        <f t="shared" si="4"/>
        <v>274.60000000000002</v>
      </c>
      <c r="J79" s="4"/>
      <c r="K79" s="4"/>
      <c r="L79" s="26" t="s">
        <v>360</v>
      </c>
      <c r="M79" s="15" t="s">
        <v>361</v>
      </c>
      <c r="N79" s="5" t="s">
        <v>32</v>
      </c>
      <c r="O79" s="24">
        <v>44766</v>
      </c>
      <c r="P79" s="15">
        <v>30.7</v>
      </c>
      <c r="Q79" s="4">
        <v>2</v>
      </c>
      <c r="R79" s="4">
        <f t="shared" si="3"/>
        <v>61.4</v>
      </c>
    </row>
    <row r="80" spans="2:18" ht="15" thickBot="1" x14ac:dyDescent="0.4">
      <c r="B80" s="4" t="s">
        <v>493</v>
      </c>
      <c r="C80" s="5" t="s">
        <v>494</v>
      </c>
      <c r="D80" s="5" t="s">
        <v>495</v>
      </c>
      <c r="E80" s="23">
        <v>45474</v>
      </c>
      <c r="F80" s="4">
        <v>33.46</v>
      </c>
      <c r="G80" s="4">
        <v>2</v>
      </c>
      <c r="H80" s="4">
        <f t="shared" si="4"/>
        <v>66.92</v>
      </c>
      <c r="J80" s="4"/>
      <c r="K80" s="4"/>
      <c r="L80" s="4" t="s">
        <v>393</v>
      </c>
      <c r="M80" s="5" t="s">
        <v>394</v>
      </c>
      <c r="N80" s="5" t="s">
        <v>32</v>
      </c>
      <c r="O80" s="23">
        <v>46266</v>
      </c>
      <c r="P80" s="4">
        <v>56.44</v>
      </c>
      <c r="Q80" s="8">
        <v>2</v>
      </c>
      <c r="R80" s="4">
        <f t="shared" si="3"/>
        <v>112.88</v>
      </c>
    </row>
    <row r="81" spans="2:18" ht="15" thickBot="1" x14ac:dyDescent="0.4">
      <c r="B81" s="14" t="s">
        <v>355</v>
      </c>
      <c r="C81" s="15" t="s">
        <v>356</v>
      </c>
      <c r="D81" s="15" t="s">
        <v>149</v>
      </c>
      <c r="E81" s="24">
        <v>45627</v>
      </c>
      <c r="F81" s="15">
        <v>37.92</v>
      </c>
      <c r="G81" s="4">
        <v>3</v>
      </c>
      <c r="H81" s="4">
        <f t="shared" si="4"/>
        <v>113.76</v>
      </c>
      <c r="J81" s="4"/>
      <c r="K81" s="4"/>
      <c r="L81" s="4" t="s">
        <v>147</v>
      </c>
      <c r="M81" s="5" t="s">
        <v>148</v>
      </c>
      <c r="N81" s="5" t="s">
        <v>149</v>
      </c>
      <c r="O81" s="23">
        <v>45901</v>
      </c>
      <c r="P81" s="4">
        <v>34.24</v>
      </c>
      <c r="Q81" s="8">
        <v>2</v>
      </c>
      <c r="R81" s="4">
        <f t="shared" si="3"/>
        <v>68.48</v>
      </c>
    </row>
    <row r="82" spans="2:18" ht="15" thickBot="1" x14ac:dyDescent="0.4">
      <c r="B82" s="25" t="s">
        <v>159</v>
      </c>
      <c r="C82" s="5" t="s">
        <v>160</v>
      </c>
      <c r="D82" s="5" t="s">
        <v>32</v>
      </c>
      <c r="E82" s="23">
        <v>46235</v>
      </c>
      <c r="F82" s="4">
        <v>38.17</v>
      </c>
      <c r="G82" s="4">
        <v>1</v>
      </c>
      <c r="H82" s="4">
        <f t="shared" si="4"/>
        <v>38.17</v>
      </c>
      <c r="J82" s="4"/>
      <c r="K82" s="4"/>
      <c r="L82" s="4" t="s">
        <v>504</v>
      </c>
      <c r="M82" s="5" t="s">
        <v>505</v>
      </c>
      <c r="N82" s="5" t="s">
        <v>484</v>
      </c>
      <c r="O82" s="23">
        <v>45597</v>
      </c>
      <c r="P82" s="4">
        <v>271</v>
      </c>
      <c r="Q82" s="8">
        <v>1</v>
      </c>
      <c r="R82" s="4">
        <f t="shared" si="3"/>
        <v>271</v>
      </c>
    </row>
    <row r="83" spans="2:18" ht="15" thickBot="1" x14ac:dyDescent="0.4">
      <c r="B83" s="26" t="s">
        <v>360</v>
      </c>
      <c r="C83" s="15" t="s">
        <v>361</v>
      </c>
      <c r="D83" s="5" t="s">
        <v>32</v>
      </c>
      <c r="E83" s="24">
        <v>44766</v>
      </c>
      <c r="F83" s="15">
        <v>30.7</v>
      </c>
      <c r="G83" s="4">
        <v>2</v>
      </c>
      <c r="H83" s="4">
        <f t="shared" si="4"/>
        <v>61.4</v>
      </c>
      <c r="J83" s="4"/>
      <c r="K83" s="22"/>
      <c r="L83" s="4"/>
      <c r="M83" s="5"/>
      <c r="N83" s="5"/>
      <c r="O83" s="6"/>
      <c r="P83" s="4"/>
      <c r="Q83" s="4"/>
      <c r="R83" s="4">
        <v>6495.57</v>
      </c>
    </row>
    <row r="84" spans="2:18" ht="15" thickBot="1" x14ac:dyDescent="0.4">
      <c r="B84" s="4" t="s">
        <v>393</v>
      </c>
      <c r="C84" s="5" t="s">
        <v>394</v>
      </c>
      <c r="D84" s="5" t="s">
        <v>32</v>
      </c>
      <c r="E84" s="23">
        <v>46266</v>
      </c>
      <c r="F84" s="4">
        <v>56.44</v>
      </c>
      <c r="G84" s="8">
        <v>2</v>
      </c>
      <c r="H84" s="4">
        <f t="shared" si="4"/>
        <v>112.88</v>
      </c>
      <c r="J84" s="4"/>
      <c r="K84" s="4"/>
      <c r="L84" s="4"/>
      <c r="M84" s="5"/>
      <c r="N84" s="5"/>
      <c r="O84" s="6"/>
      <c r="P84" s="4"/>
      <c r="Q84" s="4"/>
      <c r="R84" s="4"/>
    </row>
    <row r="85" spans="2:18" ht="15" thickBot="1" x14ac:dyDescent="0.4">
      <c r="B85" s="4" t="s">
        <v>147</v>
      </c>
      <c r="C85" s="5" t="s">
        <v>148</v>
      </c>
      <c r="D85" s="5" t="s">
        <v>149</v>
      </c>
      <c r="E85" s="23">
        <v>45901</v>
      </c>
      <c r="F85" s="4">
        <v>34.24</v>
      </c>
      <c r="G85" s="8">
        <v>2</v>
      </c>
      <c r="H85" s="4">
        <f t="shared" si="4"/>
        <v>68.48</v>
      </c>
      <c r="J85" s="4">
        <v>3</v>
      </c>
      <c r="K85" s="4"/>
      <c r="L85" s="14" t="s">
        <v>485</v>
      </c>
      <c r="M85" s="15" t="s">
        <v>293</v>
      </c>
      <c r="N85" s="15" t="s">
        <v>294</v>
      </c>
      <c r="O85" s="24">
        <v>45383</v>
      </c>
      <c r="P85" s="15">
        <v>137.30000000000001</v>
      </c>
      <c r="Q85" s="4">
        <v>1</v>
      </c>
      <c r="R85" s="4">
        <f t="shared" ref="R85:R96" si="5">P85*Q85</f>
        <v>137.30000000000001</v>
      </c>
    </row>
    <row r="86" spans="2:18" ht="15" thickBot="1" x14ac:dyDescent="0.4">
      <c r="B86" s="4" t="s">
        <v>504</v>
      </c>
      <c r="C86" s="5" t="s">
        <v>505</v>
      </c>
      <c r="D86" s="5" t="s">
        <v>484</v>
      </c>
      <c r="E86" s="23">
        <v>45597</v>
      </c>
      <c r="F86" s="4">
        <v>271</v>
      </c>
      <c r="G86" s="8">
        <v>1</v>
      </c>
      <c r="H86" s="4">
        <f t="shared" si="4"/>
        <v>271</v>
      </c>
      <c r="J86" s="4"/>
      <c r="K86" s="4"/>
      <c r="L86" s="4" t="s">
        <v>486</v>
      </c>
      <c r="M86" s="5">
        <v>1651</v>
      </c>
      <c r="N86" s="5" t="s">
        <v>92</v>
      </c>
      <c r="O86" s="23">
        <v>45047</v>
      </c>
      <c r="P86" s="4">
        <v>24.64</v>
      </c>
      <c r="Q86" s="4">
        <v>3</v>
      </c>
      <c r="R86" s="4">
        <f t="shared" si="5"/>
        <v>73.92</v>
      </c>
    </row>
    <row r="87" spans="2:18" ht="15" thickBot="1" x14ac:dyDescent="0.4">
      <c r="B87" s="7"/>
      <c r="C87" s="8"/>
      <c r="D87" s="8"/>
      <c r="E87" s="8"/>
      <c r="F87" s="8"/>
      <c r="G87" s="8"/>
      <c r="H87" s="4">
        <f t="shared" si="4"/>
        <v>0</v>
      </c>
      <c r="J87" s="4"/>
      <c r="K87" s="4"/>
      <c r="L87" s="14" t="s">
        <v>487</v>
      </c>
      <c r="M87" s="15">
        <v>22004</v>
      </c>
      <c r="N87" s="15" t="s">
        <v>294</v>
      </c>
      <c r="O87" s="24">
        <v>45413</v>
      </c>
      <c r="P87" s="15">
        <v>968.9</v>
      </c>
      <c r="Q87" s="4">
        <v>3</v>
      </c>
      <c r="R87" s="4">
        <f t="shared" si="5"/>
        <v>2906.7</v>
      </c>
    </row>
    <row r="88" spans="2:18" ht="15" thickBot="1" x14ac:dyDescent="0.4">
      <c r="B88" s="7"/>
      <c r="C88" s="8"/>
      <c r="D88" s="8"/>
      <c r="E88" s="8"/>
      <c r="F88" s="8"/>
      <c r="G88" s="8"/>
      <c r="H88" s="4">
        <f t="shared" si="4"/>
        <v>0</v>
      </c>
      <c r="J88" s="4"/>
      <c r="K88" s="4"/>
      <c r="L88" s="14" t="s">
        <v>232</v>
      </c>
      <c r="M88" s="15">
        <v>505</v>
      </c>
      <c r="N88" s="15" t="s">
        <v>96</v>
      </c>
      <c r="O88" s="24">
        <v>45069</v>
      </c>
      <c r="P88" s="15">
        <v>10.45</v>
      </c>
      <c r="Q88" s="4">
        <v>1</v>
      </c>
      <c r="R88" s="4">
        <f t="shared" si="5"/>
        <v>10.45</v>
      </c>
    </row>
    <row r="89" spans="2:18" ht="15" thickBot="1" x14ac:dyDescent="0.4">
      <c r="B89" s="55" t="s">
        <v>50</v>
      </c>
      <c r="C89" s="56"/>
      <c r="D89" s="56"/>
      <c r="E89" s="56"/>
      <c r="F89" s="56"/>
      <c r="G89" s="56"/>
      <c r="H89" s="9">
        <f>SUM(H64:H88)</f>
        <v>6495.5700000000006</v>
      </c>
      <c r="J89" s="4"/>
      <c r="K89" s="4"/>
      <c r="L89" s="4" t="s">
        <v>493</v>
      </c>
      <c r="M89" s="5" t="s">
        <v>494</v>
      </c>
      <c r="N89" s="5" t="s">
        <v>495</v>
      </c>
      <c r="O89" s="23">
        <v>45474</v>
      </c>
      <c r="P89" s="4">
        <v>33.46</v>
      </c>
      <c r="Q89" s="4">
        <v>2</v>
      </c>
      <c r="R89" s="4">
        <f t="shared" si="5"/>
        <v>66.92</v>
      </c>
    </row>
    <row r="90" spans="2:18" ht="15" thickBot="1" x14ac:dyDescent="0.4">
      <c r="B90" s="9" t="s">
        <v>51</v>
      </c>
      <c r="C90" s="53" t="str">
        <f>ConvertCurrencyToEnglish(H89)</f>
        <v>Rupees Six Thousand Four Hundred Ninety Five and Fifty Seven Paise Only</v>
      </c>
      <c r="D90" s="53"/>
      <c r="E90" s="53"/>
      <c r="F90" s="53"/>
      <c r="G90" s="53"/>
      <c r="H90" s="53"/>
      <c r="J90" s="4"/>
      <c r="K90" s="4"/>
      <c r="L90" s="4" t="s">
        <v>205</v>
      </c>
      <c r="M90" s="5">
        <v>160</v>
      </c>
      <c r="N90" s="5" t="s">
        <v>92</v>
      </c>
      <c r="O90" s="23">
        <v>45009</v>
      </c>
      <c r="P90" s="4">
        <v>137.30000000000001</v>
      </c>
      <c r="Q90" s="4">
        <v>2</v>
      </c>
      <c r="R90" s="4">
        <f t="shared" si="5"/>
        <v>274.60000000000002</v>
      </c>
    </row>
    <row r="91" spans="2:18" ht="15" thickBot="1" x14ac:dyDescent="0.4">
      <c r="B91" s="57" t="s">
        <v>52</v>
      </c>
      <c r="C91" s="57"/>
      <c r="D91" s="57"/>
      <c r="E91" s="57"/>
      <c r="F91" s="57"/>
      <c r="G91" s="57"/>
      <c r="H91" s="10">
        <f>H89/1.12</f>
        <v>5799.6160714285716</v>
      </c>
      <c r="J91" s="4"/>
      <c r="K91" s="4"/>
      <c r="L91" s="14" t="s">
        <v>491</v>
      </c>
      <c r="M91" s="15">
        <v>22062</v>
      </c>
      <c r="N91" s="15" t="s">
        <v>492</v>
      </c>
      <c r="O91" s="24">
        <v>45323</v>
      </c>
      <c r="P91" s="15">
        <v>25.53</v>
      </c>
      <c r="Q91" s="5">
        <v>1</v>
      </c>
      <c r="R91" s="4">
        <f t="shared" si="5"/>
        <v>25.53</v>
      </c>
    </row>
    <row r="92" spans="2:18" ht="15" thickBot="1" x14ac:dyDescent="0.4">
      <c r="B92" s="57" t="s">
        <v>53</v>
      </c>
      <c r="C92" s="57"/>
      <c r="D92" s="57"/>
      <c r="E92" s="57"/>
      <c r="F92" s="57"/>
      <c r="G92" s="57"/>
      <c r="H92" s="10">
        <f>(H89-H91)/2</f>
        <v>347.97696428571453</v>
      </c>
      <c r="J92" s="4"/>
      <c r="K92" s="4"/>
      <c r="L92" s="14" t="s">
        <v>355</v>
      </c>
      <c r="M92" s="15" t="s">
        <v>356</v>
      </c>
      <c r="N92" s="15" t="s">
        <v>149</v>
      </c>
      <c r="O92" s="24">
        <v>45627</v>
      </c>
      <c r="P92" s="15">
        <v>37.92</v>
      </c>
      <c r="Q92" s="4">
        <v>3</v>
      </c>
      <c r="R92" s="4">
        <f t="shared" si="5"/>
        <v>113.76</v>
      </c>
    </row>
    <row r="93" spans="2:18" ht="15" thickBot="1" x14ac:dyDescent="0.4">
      <c r="B93" s="57" t="s">
        <v>54</v>
      </c>
      <c r="C93" s="57"/>
      <c r="D93" s="57"/>
      <c r="E93" s="57"/>
      <c r="F93" s="57"/>
      <c r="G93" s="57"/>
      <c r="H93" s="10">
        <f>(H89-H91)/2</f>
        <v>347.97696428571453</v>
      </c>
      <c r="J93" s="4"/>
      <c r="K93" s="4"/>
      <c r="L93" s="4" t="s">
        <v>114</v>
      </c>
      <c r="M93" s="5">
        <v>49385</v>
      </c>
      <c r="N93" s="5" t="s">
        <v>16</v>
      </c>
      <c r="O93" s="23">
        <v>46235</v>
      </c>
      <c r="P93" s="4">
        <v>179</v>
      </c>
      <c r="Q93" s="4">
        <v>1</v>
      </c>
      <c r="R93" s="4">
        <f t="shared" si="5"/>
        <v>179</v>
      </c>
    </row>
    <row r="94" spans="2:18" ht="15" thickBot="1" x14ac:dyDescent="0.4">
      <c r="J94" s="4"/>
      <c r="K94" s="4"/>
      <c r="L94" s="25" t="s">
        <v>159</v>
      </c>
      <c r="M94" s="5" t="s">
        <v>160</v>
      </c>
      <c r="N94" s="5" t="s">
        <v>32</v>
      </c>
      <c r="O94" s="23">
        <v>46235</v>
      </c>
      <c r="P94" s="4">
        <v>38.17</v>
      </c>
      <c r="Q94" s="4">
        <v>1</v>
      </c>
      <c r="R94" s="4">
        <f t="shared" si="5"/>
        <v>38.17</v>
      </c>
    </row>
    <row r="95" spans="2:18" ht="15" thickBot="1" x14ac:dyDescent="0.4">
      <c r="J95" s="4"/>
      <c r="K95" s="4"/>
      <c r="L95" s="4" t="s">
        <v>504</v>
      </c>
      <c r="M95" s="5" t="s">
        <v>505</v>
      </c>
      <c r="N95" s="5" t="s">
        <v>484</v>
      </c>
      <c r="O95" s="23">
        <v>45597</v>
      </c>
      <c r="P95" s="4">
        <v>271</v>
      </c>
      <c r="Q95" s="4">
        <v>1</v>
      </c>
      <c r="R95" s="4">
        <f t="shared" si="5"/>
        <v>271</v>
      </c>
    </row>
    <row r="96" spans="2:18" ht="15" thickBot="1" x14ac:dyDescent="0.4">
      <c r="J96" s="4"/>
      <c r="K96" s="4"/>
      <c r="L96" s="4" t="s">
        <v>393</v>
      </c>
      <c r="M96" s="5" t="s">
        <v>394</v>
      </c>
      <c r="N96" s="5" t="s">
        <v>32</v>
      </c>
      <c r="O96" s="23">
        <v>46266</v>
      </c>
      <c r="P96" s="4">
        <v>56.44</v>
      </c>
      <c r="Q96" s="4">
        <v>1</v>
      </c>
      <c r="R96" s="4">
        <f t="shared" si="5"/>
        <v>56.44</v>
      </c>
    </row>
    <row r="97" spans="2:18" ht="15" thickBot="1" x14ac:dyDescent="0.4">
      <c r="B97" s="58" t="s">
        <v>55</v>
      </c>
      <c r="C97" s="59"/>
      <c r="D97" s="59"/>
      <c r="E97" s="59"/>
      <c r="H97" s="60" t="s">
        <v>56</v>
      </c>
      <c r="J97" s="4"/>
      <c r="K97" s="4"/>
      <c r="L97" s="4"/>
      <c r="M97" s="4"/>
      <c r="N97" s="4"/>
      <c r="O97" s="4"/>
      <c r="P97" s="4"/>
      <c r="Q97" s="4"/>
      <c r="R97" s="4">
        <v>4153.79</v>
      </c>
    </row>
    <row r="98" spans="2:18" x14ac:dyDescent="0.35">
      <c r="B98" s="59"/>
      <c r="C98" s="59"/>
      <c r="D98" s="59"/>
      <c r="E98" s="59"/>
      <c r="H98" s="60"/>
    </row>
    <row r="102" spans="2:18" ht="15" thickBot="1" x14ac:dyDescent="0.4"/>
    <row r="103" spans="2:18" ht="15.5" x14ac:dyDescent="0.35">
      <c r="B103" s="44" t="s">
        <v>62</v>
      </c>
      <c r="C103" s="45"/>
      <c r="D103" s="45"/>
      <c r="E103" s="45"/>
      <c r="F103" s="45"/>
      <c r="G103" s="45"/>
      <c r="H103" s="46"/>
      <c r="J103" s="11"/>
      <c r="K103" s="27" t="s">
        <v>59</v>
      </c>
      <c r="L103" s="28"/>
      <c r="M103" s="28"/>
      <c r="N103" s="28"/>
      <c r="O103" s="28"/>
      <c r="P103" s="28"/>
      <c r="Q103" s="29"/>
      <c r="R103" s="11"/>
    </row>
    <row r="104" spans="2:18" ht="15.5" x14ac:dyDescent="0.35">
      <c r="B104" s="47"/>
      <c r="C104" s="48"/>
      <c r="D104" s="48"/>
      <c r="E104" s="48"/>
      <c r="F104" s="48"/>
      <c r="G104" s="48"/>
      <c r="H104" s="49"/>
      <c r="J104" s="11"/>
      <c r="K104" s="30"/>
      <c r="L104" s="31"/>
      <c r="M104" s="31"/>
      <c r="N104" s="31"/>
      <c r="O104" s="31"/>
      <c r="P104" s="31"/>
      <c r="Q104" s="32"/>
      <c r="R104" s="11"/>
    </row>
    <row r="105" spans="2:18" ht="16" thickBot="1" x14ac:dyDescent="0.4">
      <c r="B105" s="47"/>
      <c r="C105" s="48"/>
      <c r="D105" s="48"/>
      <c r="E105" s="48"/>
      <c r="F105" s="48"/>
      <c r="G105" s="48"/>
      <c r="H105" s="49"/>
      <c r="J105" s="11"/>
      <c r="K105" s="33"/>
      <c r="L105" s="34"/>
      <c r="M105" s="34"/>
      <c r="N105" s="34"/>
      <c r="O105" s="34"/>
      <c r="P105" s="34"/>
      <c r="Q105" s="35"/>
      <c r="R105" s="11"/>
    </row>
    <row r="106" spans="2:18" ht="15" thickBot="1" x14ac:dyDescent="0.4">
      <c r="B106" s="50"/>
      <c r="C106" s="51"/>
      <c r="D106" s="51"/>
      <c r="E106" s="51"/>
      <c r="F106" s="51"/>
      <c r="G106" s="51"/>
      <c r="H106" s="52"/>
    </row>
    <row r="107" spans="2:18" ht="15" thickBot="1" x14ac:dyDescent="0.4">
      <c r="K107" s="36" t="s">
        <v>1</v>
      </c>
      <c r="L107" s="37"/>
      <c r="M107" s="38"/>
      <c r="N107" s="42" t="str">
        <f>E7</f>
        <v>KABITA GOGOI(ESIC/S.H.R.C.)</v>
      </c>
      <c r="O107" s="43"/>
      <c r="P107" s="43"/>
      <c r="Q107" s="43"/>
      <c r="R107" s="12"/>
    </row>
    <row r="108" spans="2:18" ht="15" thickBot="1" x14ac:dyDescent="0.4">
      <c r="B108" s="54" t="s">
        <v>1</v>
      </c>
      <c r="C108" s="54"/>
      <c r="D108" s="54"/>
      <c r="E108" s="42" t="str">
        <f>E7</f>
        <v>KABITA GOGOI(ESIC/S.H.R.C.)</v>
      </c>
      <c r="F108" s="43"/>
      <c r="G108" s="43"/>
      <c r="H108" s="43"/>
      <c r="K108" s="39"/>
      <c r="L108" s="40"/>
      <c r="M108" s="41"/>
      <c r="N108" s="43"/>
      <c r="O108" s="43"/>
      <c r="P108" s="43"/>
      <c r="Q108" s="43"/>
      <c r="R108" s="12"/>
    </row>
    <row r="109" spans="2:18" ht="15" thickBot="1" x14ac:dyDescent="0.4">
      <c r="B109" s="54"/>
      <c r="C109" s="54"/>
      <c r="D109" s="54"/>
      <c r="E109" s="43"/>
      <c r="F109" s="43"/>
      <c r="G109" s="43"/>
      <c r="H109" s="43"/>
    </row>
    <row r="110" spans="2:18" ht="15" thickBot="1" x14ac:dyDescent="0.4">
      <c r="B110" s="48"/>
      <c r="C110" s="48"/>
      <c r="D110" s="48"/>
      <c r="E110" s="48"/>
      <c r="F110" s="48"/>
      <c r="G110" s="48"/>
      <c r="H110" s="48"/>
      <c r="J110" s="10" t="s">
        <v>57</v>
      </c>
      <c r="K110" s="10" t="s">
        <v>58</v>
      </c>
      <c r="L110" s="2" t="s">
        <v>4</v>
      </c>
      <c r="M110" s="2" t="s">
        <v>5</v>
      </c>
      <c r="N110" s="3" t="s">
        <v>6</v>
      </c>
      <c r="O110" s="2" t="s">
        <v>7</v>
      </c>
      <c r="P110" s="2" t="s">
        <v>8</v>
      </c>
      <c r="Q110" s="2" t="s">
        <v>60</v>
      </c>
      <c r="R110" s="2" t="s">
        <v>61</v>
      </c>
    </row>
    <row r="111" spans="2:18" ht="15" thickBot="1" x14ac:dyDescent="0.4">
      <c r="J111" s="4"/>
      <c r="K111" s="13"/>
      <c r="L111" s="14" t="s">
        <v>485</v>
      </c>
      <c r="M111" s="15" t="s">
        <v>293</v>
      </c>
      <c r="N111" s="15" t="s">
        <v>294</v>
      </c>
      <c r="O111" s="24">
        <v>45383</v>
      </c>
      <c r="P111" s="15">
        <v>137.30000000000001</v>
      </c>
      <c r="Q111" s="4">
        <v>1</v>
      </c>
      <c r="R111" s="4">
        <f t="shared" ref="R111:R120" si="6">P111*Q111</f>
        <v>137.30000000000001</v>
      </c>
    </row>
    <row r="112" spans="2:18" ht="15" thickBot="1" x14ac:dyDescent="0.4">
      <c r="B112" s="1" t="s">
        <v>508</v>
      </c>
      <c r="G112" s="1"/>
      <c r="H112" s="13" t="s">
        <v>511</v>
      </c>
      <c r="J112" s="4"/>
      <c r="K112" s="10"/>
      <c r="L112" s="4" t="s">
        <v>486</v>
      </c>
      <c r="M112" s="5">
        <v>1651</v>
      </c>
      <c r="N112" s="5" t="s">
        <v>92</v>
      </c>
      <c r="O112" s="23">
        <v>45047</v>
      </c>
      <c r="P112" s="4">
        <v>24.64</v>
      </c>
      <c r="Q112" s="4">
        <v>3</v>
      </c>
      <c r="R112" s="4">
        <f t="shared" si="6"/>
        <v>73.92</v>
      </c>
    </row>
    <row r="113" spans="2:18" ht="15" thickBot="1" x14ac:dyDescent="0.4">
      <c r="J113" s="4"/>
      <c r="K113" s="4"/>
      <c r="L113" s="14" t="s">
        <v>487</v>
      </c>
      <c r="M113" s="15">
        <v>22004</v>
      </c>
      <c r="N113" s="15" t="s">
        <v>294</v>
      </c>
      <c r="O113" s="24">
        <v>45413</v>
      </c>
      <c r="P113" s="15">
        <v>968.9</v>
      </c>
      <c r="Q113" s="4">
        <v>3</v>
      </c>
      <c r="R113" s="4">
        <f t="shared" si="6"/>
        <v>2906.7</v>
      </c>
    </row>
    <row r="114" spans="2:18" ht="15" thickBot="1" x14ac:dyDescent="0.4">
      <c r="B114" s="2" t="s">
        <v>4</v>
      </c>
      <c r="C114" s="2" t="s">
        <v>5</v>
      </c>
      <c r="D114" s="3" t="s">
        <v>6</v>
      </c>
      <c r="E114" s="2" t="s">
        <v>7</v>
      </c>
      <c r="F114" s="2" t="s">
        <v>8</v>
      </c>
      <c r="G114" s="2" t="s">
        <v>9</v>
      </c>
      <c r="H114" s="2" t="s">
        <v>10</v>
      </c>
      <c r="J114" s="4"/>
      <c r="K114" s="4"/>
      <c r="L114" s="4" t="s">
        <v>205</v>
      </c>
      <c r="M114" s="5">
        <v>160</v>
      </c>
      <c r="N114" s="5" t="s">
        <v>92</v>
      </c>
      <c r="O114" s="23">
        <v>45009</v>
      </c>
      <c r="P114" s="4">
        <v>137.30000000000001</v>
      </c>
      <c r="Q114" s="4">
        <v>2</v>
      </c>
      <c r="R114" s="4">
        <f t="shared" si="6"/>
        <v>274.60000000000002</v>
      </c>
    </row>
    <row r="115" spans="2:18" ht="15" thickBot="1" x14ac:dyDescent="0.4">
      <c r="B115" s="14" t="s">
        <v>485</v>
      </c>
      <c r="C115" s="15" t="s">
        <v>293</v>
      </c>
      <c r="D115" s="15" t="s">
        <v>294</v>
      </c>
      <c r="E115" s="24">
        <v>45383</v>
      </c>
      <c r="F115" s="15">
        <v>137.30000000000001</v>
      </c>
      <c r="G115" s="4">
        <v>1</v>
      </c>
      <c r="H115" s="4">
        <f t="shared" ref="H115:H123" si="7">F115*G115</f>
        <v>137.30000000000001</v>
      </c>
      <c r="J115" s="4"/>
      <c r="K115" s="4"/>
      <c r="L115" s="4" t="s">
        <v>493</v>
      </c>
      <c r="M115" s="5" t="s">
        <v>494</v>
      </c>
      <c r="N115" s="5" t="s">
        <v>495</v>
      </c>
      <c r="O115" s="23">
        <v>45474</v>
      </c>
      <c r="P115" s="4">
        <v>33.46</v>
      </c>
      <c r="Q115" s="4">
        <v>2</v>
      </c>
      <c r="R115" s="4">
        <f t="shared" si="6"/>
        <v>66.92</v>
      </c>
    </row>
    <row r="116" spans="2:18" ht="15" thickBot="1" x14ac:dyDescent="0.4">
      <c r="B116" s="4" t="s">
        <v>486</v>
      </c>
      <c r="C116" s="5">
        <v>1651</v>
      </c>
      <c r="D116" s="5" t="s">
        <v>92</v>
      </c>
      <c r="E116" s="23">
        <v>45047</v>
      </c>
      <c r="F116" s="4">
        <v>24.64</v>
      </c>
      <c r="G116" s="4">
        <v>3</v>
      </c>
      <c r="H116" s="4">
        <f t="shared" si="7"/>
        <v>73.92</v>
      </c>
      <c r="J116" s="4"/>
      <c r="K116" s="4"/>
      <c r="L116" s="14" t="s">
        <v>355</v>
      </c>
      <c r="M116" s="15" t="s">
        <v>356</v>
      </c>
      <c r="N116" s="15" t="s">
        <v>149</v>
      </c>
      <c r="O116" s="24">
        <v>45627</v>
      </c>
      <c r="P116" s="15">
        <v>37.92</v>
      </c>
      <c r="Q116" s="4">
        <v>3</v>
      </c>
      <c r="R116" s="4">
        <f t="shared" si="6"/>
        <v>113.76</v>
      </c>
    </row>
    <row r="117" spans="2:18" ht="15" thickBot="1" x14ac:dyDescent="0.4">
      <c r="B117" s="14" t="s">
        <v>487</v>
      </c>
      <c r="C117" s="15">
        <v>22004</v>
      </c>
      <c r="D117" s="15" t="s">
        <v>294</v>
      </c>
      <c r="E117" s="24">
        <v>45413</v>
      </c>
      <c r="F117" s="15">
        <v>968.9</v>
      </c>
      <c r="G117" s="4">
        <v>3</v>
      </c>
      <c r="H117" s="4">
        <f t="shared" si="7"/>
        <v>2906.7</v>
      </c>
      <c r="J117" s="4"/>
      <c r="K117" s="4"/>
      <c r="L117" s="4" t="s">
        <v>488</v>
      </c>
      <c r="M117" s="5" t="s">
        <v>489</v>
      </c>
      <c r="N117" s="5" t="s">
        <v>490</v>
      </c>
      <c r="O117" s="23">
        <v>45352</v>
      </c>
      <c r="P117" s="4">
        <v>150</v>
      </c>
      <c r="Q117" s="4">
        <v>1</v>
      </c>
      <c r="R117" s="4">
        <f t="shared" si="6"/>
        <v>150</v>
      </c>
    </row>
    <row r="118" spans="2:18" ht="15" thickBot="1" x14ac:dyDescent="0.4">
      <c r="B118" s="14" t="s">
        <v>232</v>
      </c>
      <c r="C118" s="15">
        <v>505</v>
      </c>
      <c r="D118" s="15" t="s">
        <v>96</v>
      </c>
      <c r="E118" s="24">
        <v>45069</v>
      </c>
      <c r="F118" s="15">
        <v>10.45</v>
      </c>
      <c r="G118" s="4">
        <v>1</v>
      </c>
      <c r="H118" s="4">
        <f t="shared" si="7"/>
        <v>10.45</v>
      </c>
      <c r="J118" s="4"/>
      <c r="K118" s="4"/>
      <c r="L118" s="4" t="s">
        <v>504</v>
      </c>
      <c r="M118" s="5" t="s">
        <v>505</v>
      </c>
      <c r="N118" s="5" t="s">
        <v>484</v>
      </c>
      <c r="O118" s="23">
        <v>45597</v>
      </c>
      <c r="P118" s="4">
        <v>271</v>
      </c>
      <c r="Q118" s="4">
        <v>1</v>
      </c>
      <c r="R118" s="4">
        <f t="shared" si="6"/>
        <v>271</v>
      </c>
    </row>
    <row r="119" spans="2:18" ht="15" thickBot="1" x14ac:dyDescent="0.4">
      <c r="B119" s="4" t="s">
        <v>493</v>
      </c>
      <c r="C119" s="5" t="s">
        <v>494</v>
      </c>
      <c r="D119" s="5" t="s">
        <v>495</v>
      </c>
      <c r="E119" s="23">
        <v>45474</v>
      </c>
      <c r="F119" s="4">
        <v>33.46</v>
      </c>
      <c r="G119" s="4">
        <v>2</v>
      </c>
      <c r="H119" s="4">
        <f t="shared" si="7"/>
        <v>66.92</v>
      </c>
      <c r="J119" s="4"/>
      <c r="K119" s="4"/>
      <c r="L119" s="4" t="s">
        <v>393</v>
      </c>
      <c r="M119" s="5" t="s">
        <v>394</v>
      </c>
      <c r="N119" s="5" t="s">
        <v>32</v>
      </c>
      <c r="O119" s="23">
        <v>46266</v>
      </c>
      <c r="P119" s="4">
        <v>56.44</v>
      </c>
      <c r="Q119" s="4">
        <v>1</v>
      </c>
      <c r="R119" s="4">
        <f t="shared" si="6"/>
        <v>56.44</v>
      </c>
    </row>
    <row r="120" spans="2:18" ht="15" thickBot="1" x14ac:dyDescent="0.4">
      <c r="B120" s="4" t="s">
        <v>205</v>
      </c>
      <c r="C120" s="5">
        <v>160</v>
      </c>
      <c r="D120" s="5" t="s">
        <v>92</v>
      </c>
      <c r="E120" s="23">
        <v>45009</v>
      </c>
      <c r="F120" s="4">
        <v>137.30000000000001</v>
      </c>
      <c r="G120" s="4">
        <v>2</v>
      </c>
      <c r="H120" s="4">
        <f t="shared" si="7"/>
        <v>274.60000000000002</v>
      </c>
      <c r="J120" s="4"/>
      <c r="K120" s="4"/>
      <c r="L120" s="4" t="s">
        <v>147</v>
      </c>
      <c r="M120" s="5" t="s">
        <v>148</v>
      </c>
      <c r="N120" s="5" t="s">
        <v>149</v>
      </c>
      <c r="O120" s="23">
        <v>45901</v>
      </c>
      <c r="P120" s="4">
        <v>34.24</v>
      </c>
      <c r="Q120" s="4">
        <v>1</v>
      </c>
      <c r="R120" s="4">
        <f t="shared" si="6"/>
        <v>34.24</v>
      </c>
    </row>
    <row r="121" spans="2:18" ht="15" thickBot="1" x14ac:dyDescent="0.4">
      <c r="B121" s="14" t="s">
        <v>491</v>
      </c>
      <c r="C121" s="15">
        <v>22062</v>
      </c>
      <c r="D121" s="15" t="s">
        <v>492</v>
      </c>
      <c r="E121" s="24">
        <v>45323</v>
      </c>
      <c r="F121" s="15">
        <v>25.53</v>
      </c>
      <c r="G121" s="5">
        <v>1</v>
      </c>
      <c r="H121" s="4">
        <f t="shared" si="7"/>
        <v>25.53</v>
      </c>
      <c r="J121" s="4"/>
      <c r="K121" s="4"/>
      <c r="L121" s="14"/>
      <c r="M121" s="15"/>
      <c r="N121" s="15"/>
      <c r="O121" s="16"/>
      <c r="P121" s="14"/>
      <c r="Q121" s="14"/>
      <c r="R121" s="15">
        <v>4084.88</v>
      </c>
    </row>
    <row r="122" spans="2:18" ht="15" thickBot="1" x14ac:dyDescent="0.4">
      <c r="B122" s="14" t="s">
        <v>355</v>
      </c>
      <c r="C122" s="15" t="s">
        <v>356</v>
      </c>
      <c r="D122" s="15" t="s">
        <v>149</v>
      </c>
      <c r="E122" s="24">
        <v>45627</v>
      </c>
      <c r="F122" s="15">
        <v>37.92</v>
      </c>
      <c r="G122" s="4">
        <v>3</v>
      </c>
      <c r="H122" s="4">
        <f t="shared" si="7"/>
        <v>113.76</v>
      </c>
      <c r="J122" s="4"/>
      <c r="K122" s="4"/>
      <c r="L122" s="17"/>
      <c r="M122" s="20"/>
      <c r="N122" s="20"/>
      <c r="O122" s="20"/>
      <c r="P122" s="20"/>
      <c r="Q122" s="20"/>
      <c r="R122" s="17"/>
    </row>
    <row r="123" spans="2:18" ht="15" thickBot="1" x14ac:dyDescent="0.4">
      <c r="B123" s="4" t="s">
        <v>114</v>
      </c>
      <c r="C123" s="5">
        <v>49385</v>
      </c>
      <c r="D123" s="5" t="s">
        <v>16</v>
      </c>
      <c r="E123" s="23">
        <v>46235</v>
      </c>
      <c r="F123" s="4">
        <v>179</v>
      </c>
      <c r="G123" s="4">
        <v>1</v>
      </c>
      <c r="H123" s="4">
        <f t="shared" si="7"/>
        <v>179</v>
      </c>
      <c r="J123" s="4"/>
      <c r="K123" s="4"/>
      <c r="L123" s="4"/>
      <c r="M123" s="5"/>
      <c r="N123" s="5"/>
      <c r="O123" s="6"/>
      <c r="P123" s="4"/>
      <c r="Q123" s="4"/>
      <c r="R123" s="4"/>
    </row>
    <row r="124" spans="2:18" ht="15" thickBot="1" x14ac:dyDescent="0.4">
      <c r="B124" s="25" t="s">
        <v>159</v>
      </c>
      <c r="C124" s="5" t="s">
        <v>160</v>
      </c>
      <c r="D124" s="5" t="s">
        <v>32</v>
      </c>
      <c r="E124" s="23">
        <v>46235</v>
      </c>
      <c r="F124" s="4">
        <v>38.17</v>
      </c>
      <c r="G124" s="4">
        <v>1</v>
      </c>
      <c r="H124" s="4">
        <f t="shared" ref="H124:H139" si="8">F124*G124</f>
        <v>38.17</v>
      </c>
      <c r="J124" s="4"/>
      <c r="K124" s="4"/>
      <c r="L124" s="14" t="s">
        <v>485</v>
      </c>
      <c r="M124" s="15" t="s">
        <v>293</v>
      </c>
      <c r="N124" s="15" t="s">
        <v>294</v>
      </c>
      <c r="O124" s="24">
        <v>45383</v>
      </c>
      <c r="P124" s="15">
        <v>137.30000000000001</v>
      </c>
      <c r="Q124" s="4">
        <v>1</v>
      </c>
      <c r="R124" s="4">
        <f>P124*Q124</f>
        <v>137.30000000000001</v>
      </c>
    </row>
    <row r="125" spans="2:18" ht="15" thickBot="1" x14ac:dyDescent="0.4">
      <c r="B125" s="4" t="s">
        <v>504</v>
      </c>
      <c r="C125" s="5" t="s">
        <v>505</v>
      </c>
      <c r="D125" s="5" t="s">
        <v>484</v>
      </c>
      <c r="E125" s="23">
        <v>45597</v>
      </c>
      <c r="F125" s="4">
        <v>271</v>
      </c>
      <c r="G125" s="4">
        <v>1</v>
      </c>
      <c r="H125" s="4">
        <f t="shared" si="8"/>
        <v>271</v>
      </c>
      <c r="J125" s="4"/>
      <c r="K125" s="4"/>
      <c r="L125" s="4" t="s">
        <v>486</v>
      </c>
      <c r="M125" s="5">
        <v>1651</v>
      </c>
      <c r="N125" s="5" t="s">
        <v>92</v>
      </c>
      <c r="O125" s="23">
        <v>45047</v>
      </c>
      <c r="P125" s="4">
        <v>24.64</v>
      </c>
      <c r="Q125" s="4">
        <v>3</v>
      </c>
      <c r="R125" s="4">
        <f t="shared" ref="R125:R131" si="9">P125*Q125</f>
        <v>73.92</v>
      </c>
    </row>
    <row r="126" spans="2:18" ht="15" thickBot="1" x14ac:dyDescent="0.4">
      <c r="B126" s="4" t="s">
        <v>393</v>
      </c>
      <c r="C126" s="5" t="s">
        <v>394</v>
      </c>
      <c r="D126" s="5" t="s">
        <v>32</v>
      </c>
      <c r="E126" s="23">
        <v>46266</v>
      </c>
      <c r="F126" s="4">
        <v>56.44</v>
      </c>
      <c r="G126" s="4">
        <v>1</v>
      </c>
      <c r="H126" s="4">
        <f t="shared" si="8"/>
        <v>56.44</v>
      </c>
      <c r="J126" s="4"/>
      <c r="K126" s="4"/>
      <c r="L126" s="14" t="s">
        <v>487</v>
      </c>
      <c r="M126" s="15">
        <v>22004</v>
      </c>
      <c r="N126" s="15" t="s">
        <v>294</v>
      </c>
      <c r="O126" s="24">
        <v>45413</v>
      </c>
      <c r="P126" s="15">
        <v>968.9</v>
      </c>
      <c r="Q126" s="4">
        <v>3</v>
      </c>
      <c r="R126" s="4">
        <f t="shared" si="9"/>
        <v>2906.7</v>
      </c>
    </row>
    <row r="127" spans="2:18" ht="15" thickBot="1" x14ac:dyDescent="0.4">
      <c r="B127" s="4"/>
      <c r="C127" s="5"/>
      <c r="D127" s="5"/>
      <c r="E127" s="23"/>
      <c r="F127" s="4"/>
      <c r="G127" s="4"/>
      <c r="H127" s="4">
        <f t="shared" si="8"/>
        <v>0</v>
      </c>
      <c r="J127" s="4"/>
      <c r="K127" s="4"/>
      <c r="L127" s="4" t="s">
        <v>205</v>
      </c>
      <c r="M127" s="5">
        <v>160</v>
      </c>
      <c r="N127" s="5" t="s">
        <v>92</v>
      </c>
      <c r="O127" s="23">
        <v>45009</v>
      </c>
      <c r="P127" s="4">
        <v>137.30000000000001</v>
      </c>
      <c r="Q127" s="4">
        <v>2</v>
      </c>
      <c r="R127" s="4">
        <f t="shared" si="9"/>
        <v>274.60000000000002</v>
      </c>
    </row>
    <row r="128" spans="2:18" ht="15" thickBot="1" x14ac:dyDescent="0.4">
      <c r="B128" s="4"/>
      <c r="C128" s="5"/>
      <c r="D128" s="5"/>
      <c r="E128" s="23"/>
      <c r="F128" s="4"/>
      <c r="G128" s="4"/>
      <c r="H128" s="4">
        <f t="shared" si="8"/>
        <v>0</v>
      </c>
      <c r="J128" s="4"/>
      <c r="K128" s="4"/>
      <c r="L128" s="4" t="s">
        <v>493</v>
      </c>
      <c r="M128" s="5" t="s">
        <v>494</v>
      </c>
      <c r="N128" s="5" t="s">
        <v>495</v>
      </c>
      <c r="O128" s="23">
        <v>45474</v>
      </c>
      <c r="P128" s="4">
        <v>33.46</v>
      </c>
      <c r="Q128" s="4">
        <v>1</v>
      </c>
      <c r="R128" s="4">
        <f t="shared" si="9"/>
        <v>33.46</v>
      </c>
    </row>
    <row r="129" spans="2:18" ht="15" thickBot="1" x14ac:dyDescent="0.4">
      <c r="B129" s="4"/>
      <c r="C129" s="5"/>
      <c r="D129" s="5"/>
      <c r="E129" s="6"/>
      <c r="F129" s="4"/>
      <c r="G129" s="4"/>
      <c r="H129" s="4">
        <f t="shared" si="8"/>
        <v>0</v>
      </c>
      <c r="J129" s="4"/>
      <c r="K129" s="4"/>
      <c r="L129" s="14" t="s">
        <v>355</v>
      </c>
      <c r="M129" s="15" t="s">
        <v>356</v>
      </c>
      <c r="N129" s="15" t="s">
        <v>149</v>
      </c>
      <c r="O129" s="24">
        <v>45627</v>
      </c>
      <c r="P129" s="15">
        <v>37.92</v>
      </c>
      <c r="Q129" s="4">
        <v>3</v>
      </c>
      <c r="R129" s="4">
        <f t="shared" si="9"/>
        <v>113.76</v>
      </c>
    </row>
    <row r="130" spans="2:18" ht="15" thickBot="1" x14ac:dyDescent="0.4">
      <c r="B130" s="4"/>
      <c r="C130" s="5"/>
      <c r="D130" s="5"/>
      <c r="E130" s="6"/>
      <c r="F130" s="4"/>
      <c r="G130" s="4"/>
      <c r="H130" s="4">
        <f t="shared" si="8"/>
        <v>0</v>
      </c>
      <c r="J130" s="4"/>
      <c r="K130" s="4"/>
      <c r="L130" s="4" t="s">
        <v>504</v>
      </c>
      <c r="M130" s="5" t="s">
        <v>505</v>
      </c>
      <c r="N130" s="5" t="s">
        <v>484</v>
      </c>
      <c r="O130" s="23">
        <v>45597</v>
      </c>
      <c r="P130" s="4">
        <v>271</v>
      </c>
      <c r="Q130" s="4">
        <v>1</v>
      </c>
      <c r="R130" s="4">
        <f t="shared" si="9"/>
        <v>271</v>
      </c>
    </row>
    <row r="131" spans="2:18" ht="15" thickBot="1" x14ac:dyDescent="0.4">
      <c r="B131" s="4"/>
      <c r="C131" s="5"/>
      <c r="D131" s="5"/>
      <c r="E131" s="6"/>
      <c r="F131" s="4"/>
      <c r="G131" s="4"/>
      <c r="H131" s="4">
        <f t="shared" si="8"/>
        <v>0</v>
      </c>
      <c r="J131" s="4"/>
      <c r="K131" s="4"/>
      <c r="L131" s="4" t="s">
        <v>393</v>
      </c>
      <c r="M131" s="5" t="s">
        <v>394</v>
      </c>
      <c r="N131" s="5" t="s">
        <v>32</v>
      </c>
      <c r="O131" s="23">
        <v>46266</v>
      </c>
      <c r="P131" s="4">
        <v>56.44</v>
      </c>
      <c r="Q131" s="4">
        <v>1</v>
      </c>
      <c r="R131" s="4">
        <f t="shared" si="9"/>
        <v>56.44</v>
      </c>
    </row>
    <row r="132" spans="2:18" ht="15" thickBot="1" x14ac:dyDescent="0.4">
      <c r="B132" s="4"/>
      <c r="C132" s="5"/>
      <c r="D132" s="5"/>
      <c r="E132" s="6"/>
      <c r="F132" s="4"/>
      <c r="G132" s="4"/>
      <c r="H132" s="4">
        <f t="shared" si="8"/>
        <v>0</v>
      </c>
      <c r="J132" s="4"/>
      <c r="K132" s="4"/>
      <c r="L132" s="7"/>
      <c r="M132" s="8"/>
      <c r="N132" s="8"/>
      <c r="O132" s="8"/>
      <c r="P132" s="8"/>
      <c r="Q132" s="8"/>
      <c r="R132" s="4">
        <v>3867.18</v>
      </c>
    </row>
    <row r="133" spans="2:18" ht="15" thickBot="1" x14ac:dyDescent="0.4">
      <c r="B133" s="4"/>
      <c r="C133" s="5"/>
      <c r="D133" s="5"/>
      <c r="E133" s="6"/>
      <c r="F133" s="4"/>
      <c r="G133" s="4"/>
      <c r="H133" s="4">
        <f t="shared" si="8"/>
        <v>0</v>
      </c>
      <c r="J133" s="4"/>
      <c r="K133" s="4"/>
      <c r="L133" s="7"/>
      <c r="M133" s="8"/>
      <c r="N133" s="8"/>
      <c r="O133" s="8"/>
      <c r="P133" s="8"/>
      <c r="Q133" s="8"/>
      <c r="R133" s="4"/>
    </row>
    <row r="134" spans="2:18" ht="15" thickBot="1" x14ac:dyDescent="0.4">
      <c r="B134" s="4"/>
      <c r="C134" s="5"/>
      <c r="D134" s="5"/>
      <c r="E134" s="6"/>
      <c r="F134" s="4"/>
      <c r="G134" s="4"/>
      <c r="H134" s="4">
        <f t="shared" si="8"/>
        <v>0</v>
      </c>
      <c r="J134" s="4"/>
      <c r="K134" s="4"/>
      <c r="L134" s="7"/>
      <c r="M134" s="8"/>
      <c r="N134" s="8"/>
      <c r="O134" s="8"/>
      <c r="P134" s="8"/>
      <c r="Q134" s="8"/>
      <c r="R134" s="4"/>
    </row>
    <row r="135" spans="2:18" ht="15" thickBot="1" x14ac:dyDescent="0.4">
      <c r="B135" s="7"/>
      <c r="C135" s="8"/>
      <c r="D135" s="8"/>
      <c r="E135" s="8"/>
      <c r="F135" s="8"/>
      <c r="G135" s="8"/>
      <c r="H135" s="4">
        <f t="shared" si="8"/>
        <v>0</v>
      </c>
      <c r="J135" s="4">
        <v>6</v>
      </c>
      <c r="K135" s="4" t="s">
        <v>506</v>
      </c>
      <c r="L135" s="14" t="s">
        <v>485</v>
      </c>
      <c r="M135" s="15" t="s">
        <v>293</v>
      </c>
      <c r="N135" s="15" t="s">
        <v>294</v>
      </c>
      <c r="O135" s="24">
        <v>45383</v>
      </c>
      <c r="P135" s="15">
        <v>137.30000000000001</v>
      </c>
      <c r="Q135" s="4">
        <v>1</v>
      </c>
      <c r="R135" s="4">
        <f>P135*Q135</f>
        <v>137.30000000000001</v>
      </c>
    </row>
    <row r="136" spans="2:18" ht="15" thickBot="1" x14ac:dyDescent="0.4">
      <c r="B136" s="7"/>
      <c r="C136" s="8"/>
      <c r="D136" s="8"/>
      <c r="E136" s="8"/>
      <c r="F136" s="8"/>
      <c r="G136" s="8"/>
      <c r="H136" s="4">
        <f t="shared" si="8"/>
        <v>0</v>
      </c>
      <c r="J136" s="4"/>
      <c r="K136" s="4"/>
      <c r="L136" s="4" t="s">
        <v>486</v>
      </c>
      <c r="M136" s="5">
        <v>1651</v>
      </c>
      <c r="N136" s="5" t="s">
        <v>92</v>
      </c>
      <c r="O136" s="23">
        <v>45047</v>
      </c>
      <c r="P136" s="4">
        <v>24.64</v>
      </c>
      <c r="Q136" s="4">
        <v>3</v>
      </c>
      <c r="R136" s="4">
        <f t="shared" ref="R136:R138" si="10">P136*Q136</f>
        <v>73.92</v>
      </c>
    </row>
    <row r="137" spans="2:18" ht="15" thickBot="1" x14ac:dyDescent="0.4">
      <c r="B137" s="7"/>
      <c r="C137" s="8"/>
      <c r="D137" s="8"/>
      <c r="E137" s="8"/>
      <c r="F137" s="8"/>
      <c r="G137" s="8"/>
      <c r="H137" s="4">
        <f t="shared" si="8"/>
        <v>0</v>
      </c>
      <c r="J137" s="4"/>
      <c r="K137" s="4"/>
      <c r="L137" s="14" t="s">
        <v>487</v>
      </c>
      <c r="M137" s="15">
        <v>22004</v>
      </c>
      <c r="N137" s="15" t="s">
        <v>294</v>
      </c>
      <c r="O137" s="24">
        <v>45413</v>
      </c>
      <c r="P137" s="15">
        <v>968.9</v>
      </c>
      <c r="Q137" s="4">
        <v>3</v>
      </c>
      <c r="R137" s="4">
        <f t="shared" si="10"/>
        <v>2906.7</v>
      </c>
    </row>
    <row r="138" spans="2:18" ht="15" thickBot="1" x14ac:dyDescent="0.4">
      <c r="B138" s="7"/>
      <c r="C138" s="8"/>
      <c r="D138" s="8"/>
      <c r="E138" s="8"/>
      <c r="F138" s="8"/>
      <c r="G138" s="8"/>
      <c r="H138" s="4">
        <f t="shared" si="8"/>
        <v>0</v>
      </c>
      <c r="J138" s="4"/>
      <c r="K138" s="4"/>
      <c r="L138" s="4" t="s">
        <v>205</v>
      </c>
      <c r="M138" s="5">
        <v>160</v>
      </c>
      <c r="N138" s="5" t="s">
        <v>92</v>
      </c>
      <c r="O138" s="23">
        <v>45009</v>
      </c>
      <c r="P138" s="4">
        <v>137.30000000000001</v>
      </c>
      <c r="Q138" s="4">
        <v>2</v>
      </c>
      <c r="R138" s="4">
        <f t="shared" si="10"/>
        <v>274.60000000000002</v>
      </c>
    </row>
    <row r="139" spans="2:18" ht="15" thickBot="1" x14ac:dyDescent="0.4">
      <c r="B139" s="7"/>
      <c r="C139" s="8"/>
      <c r="D139" s="8"/>
      <c r="E139" s="8"/>
      <c r="F139" s="8"/>
      <c r="G139" s="8"/>
      <c r="H139" s="4">
        <f t="shared" si="8"/>
        <v>0</v>
      </c>
      <c r="J139" s="4"/>
      <c r="K139" s="4"/>
      <c r="L139" s="4" t="s">
        <v>497</v>
      </c>
      <c r="M139" s="5" t="s">
        <v>498</v>
      </c>
      <c r="N139" s="5" t="s">
        <v>37</v>
      </c>
      <c r="O139" s="23">
        <v>45505</v>
      </c>
      <c r="P139" s="4">
        <v>133</v>
      </c>
      <c r="Q139" s="5" t="s">
        <v>496</v>
      </c>
      <c r="R139" s="4">
        <v>133</v>
      </c>
    </row>
    <row r="140" spans="2:18" ht="15" thickBot="1" x14ac:dyDescent="0.4">
      <c r="B140" s="55" t="s">
        <v>50</v>
      </c>
      <c r="C140" s="56"/>
      <c r="D140" s="56"/>
      <c r="E140" s="56"/>
      <c r="F140" s="56"/>
      <c r="G140" s="56"/>
      <c r="H140" s="9">
        <f>SUM(H115:H139)</f>
        <v>4153.79</v>
      </c>
      <c r="J140" s="4"/>
      <c r="K140" s="4"/>
      <c r="L140" s="14" t="s">
        <v>355</v>
      </c>
      <c r="M140" s="15" t="s">
        <v>356</v>
      </c>
      <c r="N140" s="15" t="s">
        <v>149</v>
      </c>
      <c r="O140" s="24">
        <v>45627</v>
      </c>
      <c r="P140" s="15">
        <v>37.92</v>
      </c>
      <c r="Q140" s="4">
        <v>3</v>
      </c>
      <c r="R140" s="4">
        <f>P140*Q140</f>
        <v>113.76</v>
      </c>
    </row>
    <row r="141" spans="2:18" ht="15" thickBot="1" x14ac:dyDescent="0.4">
      <c r="B141" s="9" t="s">
        <v>51</v>
      </c>
      <c r="C141" s="53" t="str">
        <f>ConvertCurrencyToEnglish(H140)</f>
        <v>Rupees Four Thousand One Hundred Fifty Three and Seventy Nine Paise Only</v>
      </c>
      <c r="D141" s="53"/>
      <c r="E141" s="53"/>
      <c r="F141" s="53"/>
      <c r="G141" s="53"/>
      <c r="H141" s="53"/>
      <c r="J141" s="4"/>
      <c r="K141" s="4"/>
      <c r="L141" s="14" t="s">
        <v>491</v>
      </c>
      <c r="M141" s="15">
        <v>22062</v>
      </c>
      <c r="N141" s="15" t="s">
        <v>492</v>
      </c>
      <c r="O141" s="24">
        <v>45323</v>
      </c>
      <c r="P141" s="15">
        <v>25.53</v>
      </c>
      <c r="Q141" s="5" t="s">
        <v>496</v>
      </c>
      <c r="R141" s="4">
        <v>25.53</v>
      </c>
    </row>
    <row r="142" spans="2:18" ht="15" thickBot="1" x14ac:dyDescent="0.4">
      <c r="B142" s="57" t="s">
        <v>52</v>
      </c>
      <c r="C142" s="57"/>
      <c r="D142" s="57"/>
      <c r="E142" s="57"/>
      <c r="F142" s="57"/>
      <c r="G142" s="57"/>
      <c r="H142" s="10">
        <f>H140/1.12</f>
        <v>3708.7410714285711</v>
      </c>
      <c r="J142" s="4"/>
      <c r="K142" s="4"/>
      <c r="L142" s="4"/>
      <c r="M142" s="4"/>
      <c r="N142" s="4"/>
      <c r="O142" s="4"/>
      <c r="P142" s="4"/>
      <c r="Q142" s="4"/>
      <c r="R142" s="4">
        <v>3664.81</v>
      </c>
    </row>
    <row r="143" spans="2:18" ht="15" thickBot="1" x14ac:dyDescent="0.4">
      <c r="B143" s="57" t="s">
        <v>53</v>
      </c>
      <c r="C143" s="57"/>
      <c r="D143" s="57"/>
      <c r="E143" s="57"/>
      <c r="F143" s="57"/>
      <c r="G143" s="57"/>
      <c r="H143" s="10">
        <f>(H140-H142)/2</f>
        <v>222.52446428571443</v>
      </c>
      <c r="J143" s="4"/>
      <c r="K143" s="4"/>
      <c r="L143" s="4"/>
      <c r="M143" s="4"/>
      <c r="N143" s="4"/>
      <c r="O143" s="4"/>
      <c r="P143" s="4"/>
      <c r="Q143" s="4"/>
      <c r="R143" s="4"/>
    </row>
    <row r="144" spans="2:18" ht="15" thickBot="1" x14ac:dyDescent="0.4">
      <c r="B144" s="57" t="s">
        <v>54</v>
      </c>
      <c r="C144" s="57"/>
      <c r="D144" s="57"/>
      <c r="E144" s="57"/>
      <c r="F144" s="57"/>
      <c r="G144" s="57"/>
      <c r="H144" s="10">
        <f>(H140-H142)/2</f>
        <v>222.52446428571443</v>
      </c>
      <c r="J144" s="4"/>
      <c r="K144" s="4"/>
      <c r="L144" s="19"/>
      <c r="M144" s="10"/>
      <c r="N144" s="10"/>
      <c r="O144" s="10"/>
      <c r="P144" s="4"/>
      <c r="Q144" s="4"/>
      <c r="R144" s="18"/>
    </row>
    <row r="145" spans="2:18" ht="15" thickBot="1" x14ac:dyDescent="0.4">
      <c r="J145" s="4"/>
      <c r="K145" s="4"/>
      <c r="L145" s="10"/>
      <c r="M145" s="10"/>
      <c r="N145" s="10"/>
      <c r="O145" s="10"/>
      <c r="P145" s="4"/>
      <c r="Q145" s="4"/>
      <c r="R145" s="18"/>
    </row>
    <row r="146" spans="2:18" ht="15" thickBot="1" x14ac:dyDescent="0.4">
      <c r="J146" s="4"/>
      <c r="K146" s="4"/>
      <c r="L146" s="4"/>
      <c r="M146" s="4"/>
      <c r="N146" s="4"/>
      <c r="O146" s="4"/>
      <c r="P146" s="4"/>
      <c r="Q146" s="4"/>
      <c r="R146" s="4"/>
    </row>
    <row r="147" spans="2:18" ht="15" thickBot="1" x14ac:dyDescent="0.4">
      <c r="J147" s="4"/>
      <c r="K147" s="4"/>
      <c r="L147" s="4"/>
      <c r="M147" s="4"/>
      <c r="N147" s="4"/>
      <c r="O147" s="4"/>
      <c r="P147" s="4"/>
      <c r="Q147" s="4"/>
      <c r="R147" s="4"/>
    </row>
    <row r="148" spans="2:18" ht="15" thickBot="1" x14ac:dyDescent="0.4">
      <c r="B148" s="58" t="s">
        <v>55</v>
      </c>
      <c r="C148" s="59"/>
      <c r="D148" s="59"/>
      <c r="E148" s="59"/>
      <c r="H148" s="60" t="s">
        <v>56</v>
      </c>
      <c r="J148" s="4"/>
      <c r="K148" s="4"/>
      <c r="L148" s="4"/>
      <c r="M148" s="4"/>
      <c r="N148" s="4"/>
      <c r="O148" s="4"/>
      <c r="P148" s="4"/>
      <c r="Q148" s="4"/>
      <c r="R148" s="4"/>
    </row>
    <row r="149" spans="2:18" x14ac:dyDescent="0.35">
      <c r="B149" s="59"/>
      <c r="C149" s="59"/>
      <c r="D149" s="59"/>
      <c r="E149" s="59"/>
      <c r="H149" s="60"/>
    </row>
    <row r="152" spans="2:18" ht="15" thickBot="1" x14ac:dyDescent="0.4"/>
    <row r="153" spans="2:18" ht="15.5" x14ac:dyDescent="0.35">
      <c r="B153" s="44" t="s">
        <v>62</v>
      </c>
      <c r="C153" s="45"/>
      <c r="D153" s="45"/>
      <c r="E153" s="45"/>
      <c r="F153" s="45"/>
      <c r="G153" s="45"/>
      <c r="H153" s="46"/>
      <c r="J153" s="11"/>
      <c r="K153" s="27" t="s">
        <v>59</v>
      </c>
      <c r="L153" s="28"/>
      <c r="M153" s="28"/>
      <c r="N153" s="28"/>
      <c r="O153" s="28"/>
      <c r="P153" s="28"/>
      <c r="Q153" s="29"/>
      <c r="R153" s="11"/>
    </row>
    <row r="154" spans="2:18" ht="15.5" x14ac:dyDescent="0.35">
      <c r="B154" s="47"/>
      <c r="C154" s="48"/>
      <c r="D154" s="48"/>
      <c r="E154" s="48"/>
      <c r="F154" s="48"/>
      <c r="G154" s="48"/>
      <c r="H154" s="49"/>
      <c r="J154" s="11"/>
      <c r="K154" s="30"/>
      <c r="L154" s="31"/>
      <c r="M154" s="31"/>
      <c r="N154" s="31"/>
      <c r="O154" s="31"/>
      <c r="P154" s="31"/>
      <c r="Q154" s="32"/>
      <c r="R154" s="11"/>
    </row>
    <row r="155" spans="2:18" ht="16" thickBot="1" x14ac:dyDescent="0.4">
      <c r="B155" s="47"/>
      <c r="C155" s="48"/>
      <c r="D155" s="48"/>
      <c r="E155" s="48"/>
      <c r="F155" s="48"/>
      <c r="G155" s="48"/>
      <c r="H155" s="49"/>
      <c r="J155" s="11"/>
      <c r="K155" s="33"/>
      <c r="L155" s="34"/>
      <c r="M155" s="34"/>
      <c r="N155" s="34"/>
      <c r="O155" s="34"/>
      <c r="P155" s="34"/>
      <c r="Q155" s="35"/>
      <c r="R155" s="11"/>
    </row>
    <row r="156" spans="2:18" ht="15" thickBot="1" x14ac:dyDescent="0.4">
      <c r="B156" s="50"/>
      <c r="C156" s="51"/>
      <c r="D156" s="51"/>
      <c r="E156" s="51"/>
      <c r="F156" s="51"/>
      <c r="G156" s="51"/>
      <c r="H156" s="52"/>
    </row>
    <row r="157" spans="2:18" ht="15" thickBot="1" x14ac:dyDescent="0.4">
      <c r="K157" s="36" t="s">
        <v>1</v>
      </c>
      <c r="L157" s="37"/>
      <c r="M157" s="38"/>
      <c r="N157" s="42" t="str">
        <f>E7</f>
        <v>KABITA GOGOI(ESIC/S.H.R.C.)</v>
      </c>
      <c r="O157" s="43"/>
      <c r="P157" s="43"/>
      <c r="Q157" s="43"/>
      <c r="R157" s="12"/>
    </row>
    <row r="158" spans="2:18" ht="15" thickBot="1" x14ac:dyDescent="0.4">
      <c r="B158" s="54" t="s">
        <v>1</v>
      </c>
      <c r="C158" s="54"/>
      <c r="D158" s="54"/>
      <c r="E158" s="42" t="str">
        <f>E7</f>
        <v>KABITA GOGOI(ESIC/S.H.R.C.)</v>
      </c>
      <c r="F158" s="43"/>
      <c r="G158" s="43"/>
      <c r="H158" s="43"/>
      <c r="K158" s="39"/>
      <c r="L158" s="40"/>
      <c r="M158" s="41"/>
      <c r="N158" s="43"/>
      <c r="O158" s="43"/>
      <c r="P158" s="43"/>
      <c r="Q158" s="43"/>
      <c r="R158" s="12"/>
    </row>
    <row r="159" spans="2:18" ht="15" thickBot="1" x14ac:dyDescent="0.4">
      <c r="B159" s="54"/>
      <c r="C159" s="54"/>
      <c r="D159" s="54"/>
      <c r="E159" s="43"/>
      <c r="F159" s="43"/>
      <c r="G159" s="43"/>
      <c r="H159" s="43"/>
    </row>
    <row r="160" spans="2:18" ht="15" thickBot="1" x14ac:dyDescent="0.4">
      <c r="B160" s="48"/>
      <c r="C160" s="48"/>
      <c r="D160" s="48"/>
      <c r="E160" s="48"/>
      <c r="F160" s="48"/>
      <c r="G160" s="48"/>
      <c r="H160" s="48"/>
      <c r="J160" s="10" t="s">
        <v>57</v>
      </c>
      <c r="K160" s="10" t="s">
        <v>58</v>
      </c>
      <c r="L160" s="2" t="s">
        <v>4</v>
      </c>
      <c r="M160" s="2" t="s">
        <v>5</v>
      </c>
      <c r="N160" s="3" t="s">
        <v>6</v>
      </c>
      <c r="O160" s="2" t="s">
        <v>7</v>
      </c>
      <c r="P160" s="2" t="s">
        <v>8</v>
      </c>
      <c r="Q160" s="2" t="s">
        <v>60</v>
      </c>
      <c r="R160" s="2" t="s">
        <v>61</v>
      </c>
    </row>
    <row r="161" spans="2:18" ht="15" thickBot="1" x14ac:dyDescent="0.4">
      <c r="J161" s="4"/>
      <c r="K161" s="13"/>
      <c r="L161" s="4" t="s">
        <v>241</v>
      </c>
      <c r="M161" s="5">
        <v>1093</v>
      </c>
      <c r="N161" s="5" t="s">
        <v>500</v>
      </c>
      <c r="O161" s="6">
        <v>45352</v>
      </c>
      <c r="P161" s="4">
        <v>671.65</v>
      </c>
      <c r="Q161" s="4">
        <v>2</v>
      </c>
      <c r="R161" s="4">
        <f>P161*Q161</f>
        <v>1343.3</v>
      </c>
    </row>
    <row r="162" spans="2:18" ht="15" thickBot="1" x14ac:dyDescent="0.4">
      <c r="B162" s="1" t="s">
        <v>508</v>
      </c>
      <c r="G162" s="1"/>
      <c r="H162" s="13" t="s">
        <v>512</v>
      </c>
      <c r="J162" s="4"/>
      <c r="K162" s="10"/>
      <c r="L162" s="14" t="s">
        <v>485</v>
      </c>
      <c r="M162" s="15" t="s">
        <v>293</v>
      </c>
      <c r="N162" s="15" t="s">
        <v>294</v>
      </c>
      <c r="O162" s="24">
        <v>45383</v>
      </c>
      <c r="P162" s="15">
        <v>137.30000000000001</v>
      </c>
      <c r="Q162" s="4">
        <v>1</v>
      </c>
      <c r="R162" s="4">
        <f t="shared" ref="R162:R165" si="11">P162*Q162</f>
        <v>137.30000000000001</v>
      </c>
    </row>
    <row r="163" spans="2:18" ht="15" thickBot="1" x14ac:dyDescent="0.4">
      <c r="J163" s="4"/>
      <c r="K163" s="4"/>
      <c r="L163" s="4" t="s">
        <v>486</v>
      </c>
      <c r="M163" s="5">
        <v>1651</v>
      </c>
      <c r="N163" s="5" t="s">
        <v>92</v>
      </c>
      <c r="O163" s="23">
        <v>45047</v>
      </c>
      <c r="P163" s="4">
        <v>24.64</v>
      </c>
      <c r="Q163" s="4">
        <v>3</v>
      </c>
      <c r="R163" s="4">
        <f t="shared" si="11"/>
        <v>73.92</v>
      </c>
    </row>
    <row r="164" spans="2:18" ht="15" thickBot="1" x14ac:dyDescent="0.4">
      <c r="B164" s="2" t="s">
        <v>4</v>
      </c>
      <c r="C164" s="2" t="s">
        <v>5</v>
      </c>
      <c r="D164" s="3" t="s">
        <v>6</v>
      </c>
      <c r="E164" s="2" t="s">
        <v>7</v>
      </c>
      <c r="F164" s="2" t="s">
        <v>8</v>
      </c>
      <c r="G164" s="2" t="s">
        <v>9</v>
      </c>
      <c r="H164" s="2" t="s">
        <v>10</v>
      </c>
      <c r="J164" s="4"/>
      <c r="K164" s="4"/>
      <c r="L164" s="4" t="s">
        <v>205</v>
      </c>
      <c r="M164" s="5">
        <v>160</v>
      </c>
      <c r="N164" s="5" t="s">
        <v>92</v>
      </c>
      <c r="O164" s="23">
        <v>45009</v>
      </c>
      <c r="P164" s="4">
        <v>137.30000000000001</v>
      </c>
      <c r="Q164" s="4">
        <v>2</v>
      </c>
      <c r="R164" s="4">
        <f t="shared" si="11"/>
        <v>274.60000000000002</v>
      </c>
    </row>
    <row r="165" spans="2:18" ht="15" thickBot="1" x14ac:dyDescent="0.4">
      <c r="B165" s="14" t="s">
        <v>485</v>
      </c>
      <c r="C165" s="15" t="s">
        <v>293</v>
      </c>
      <c r="D165" s="15" t="s">
        <v>294</v>
      </c>
      <c r="E165" s="24">
        <v>45383</v>
      </c>
      <c r="F165" s="15">
        <v>137.30000000000001</v>
      </c>
      <c r="G165" s="4">
        <v>1</v>
      </c>
      <c r="H165" s="4">
        <f t="shared" ref="H165:H173" si="12">F165*G165</f>
        <v>137.30000000000001</v>
      </c>
      <c r="J165" s="4"/>
      <c r="K165" s="4"/>
      <c r="L165" s="4" t="s">
        <v>497</v>
      </c>
      <c r="M165" s="5" t="s">
        <v>498</v>
      </c>
      <c r="N165" s="5" t="s">
        <v>37</v>
      </c>
      <c r="O165" s="23">
        <v>45505</v>
      </c>
      <c r="P165" s="4">
        <v>133</v>
      </c>
      <c r="Q165" s="4">
        <v>1</v>
      </c>
      <c r="R165" s="4">
        <f t="shared" si="11"/>
        <v>133</v>
      </c>
    </row>
    <row r="166" spans="2:18" ht="15" thickBot="1" x14ac:dyDescent="0.4">
      <c r="B166" s="4" t="s">
        <v>486</v>
      </c>
      <c r="C166" s="5">
        <v>1651</v>
      </c>
      <c r="D166" s="5" t="s">
        <v>92</v>
      </c>
      <c r="E166" s="23">
        <v>45047</v>
      </c>
      <c r="F166" s="4">
        <v>24.64</v>
      </c>
      <c r="G166" s="4">
        <v>3</v>
      </c>
      <c r="H166" s="4">
        <f t="shared" si="12"/>
        <v>73.92</v>
      </c>
      <c r="J166" s="4"/>
      <c r="K166" s="4"/>
      <c r="L166" s="14"/>
      <c r="M166" s="15"/>
      <c r="N166" s="15"/>
      <c r="O166" s="16"/>
      <c r="P166" s="14"/>
      <c r="Q166" s="14"/>
      <c r="R166" s="15">
        <v>1962.12</v>
      </c>
    </row>
    <row r="167" spans="2:18" ht="15" thickBot="1" x14ac:dyDescent="0.4">
      <c r="B167" s="14" t="s">
        <v>487</v>
      </c>
      <c r="C167" s="15">
        <v>22004</v>
      </c>
      <c r="D167" s="15" t="s">
        <v>294</v>
      </c>
      <c r="E167" s="24">
        <v>45413</v>
      </c>
      <c r="F167" s="15">
        <v>968.9</v>
      </c>
      <c r="G167" s="4">
        <v>3</v>
      </c>
      <c r="H167" s="4">
        <f t="shared" si="12"/>
        <v>2906.7</v>
      </c>
      <c r="J167" s="4"/>
      <c r="K167" s="4"/>
      <c r="L167" s="14"/>
      <c r="M167" s="15"/>
      <c r="N167" s="15"/>
      <c r="O167" s="16"/>
      <c r="P167" s="14"/>
      <c r="Q167" s="14"/>
      <c r="R167" s="15"/>
    </row>
    <row r="168" spans="2:18" ht="15" thickBot="1" x14ac:dyDescent="0.4">
      <c r="B168" s="4" t="s">
        <v>205</v>
      </c>
      <c r="C168" s="5">
        <v>160</v>
      </c>
      <c r="D168" s="5" t="s">
        <v>92</v>
      </c>
      <c r="E168" s="23">
        <v>45009</v>
      </c>
      <c r="F168" s="4">
        <v>137.30000000000001</v>
      </c>
      <c r="G168" s="4">
        <v>2</v>
      </c>
      <c r="H168" s="4">
        <f t="shared" si="12"/>
        <v>274.60000000000002</v>
      </c>
      <c r="J168" s="4"/>
      <c r="K168" s="4"/>
      <c r="L168" s="14"/>
      <c r="M168" s="15"/>
      <c r="N168" s="15"/>
      <c r="O168" s="16"/>
      <c r="P168" s="14"/>
      <c r="Q168" s="14"/>
      <c r="R168" s="15"/>
    </row>
    <row r="169" spans="2:18" ht="15" thickBot="1" x14ac:dyDescent="0.4">
      <c r="B169" s="4" t="s">
        <v>493</v>
      </c>
      <c r="C169" s="5" t="s">
        <v>494</v>
      </c>
      <c r="D169" s="5" t="s">
        <v>495</v>
      </c>
      <c r="E169" s="23">
        <v>45474</v>
      </c>
      <c r="F169" s="4">
        <v>33.46</v>
      </c>
      <c r="G169" s="4">
        <v>2</v>
      </c>
      <c r="H169" s="4">
        <f t="shared" si="12"/>
        <v>66.92</v>
      </c>
      <c r="J169" s="4"/>
      <c r="K169" s="4"/>
      <c r="L169" s="4" t="s">
        <v>241</v>
      </c>
      <c r="M169" s="5">
        <v>1093</v>
      </c>
      <c r="N169" s="5" t="s">
        <v>500</v>
      </c>
      <c r="O169" s="6">
        <v>45352</v>
      </c>
      <c r="P169" s="4">
        <v>671.65</v>
      </c>
      <c r="Q169" s="4">
        <v>2</v>
      </c>
      <c r="R169" s="4">
        <f>P169*Q169</f>
        <v>1343.3</v>
      </c>
    </row>
    <row r="170" spans="2:18" ht="15" thickBot="1" x14ac:dyDescent="0.4">
      <c r="B170" s="14" t="s">
        <v>355</v>
      </c>
      <c r="C170" s="15" t="s">
        <v>356</v>
      </c>
      <c r="D170" s="15" t="s">
        <v>149</v>
      </c>
      <c r="E170" s="24">
        <v>45627</v>
      </c>
      <c r="F170" s="15">
        <v>37.92</v>
      </c>
      <c r="G170" s="4">
        <v>3</v>
      </c>
      <c r="H170" s="4">
        <f t="shared" si="12"/>
        <v>113.76</v>
      </c>
      <c r="J170" s="4"/>
      <c r="K170" s="4"/>
      <c r="L170" s="14" t="s">
        <v>485</v>
      </c>
      <c r="M170" s="15" t="s">
        <v>293</v>
      </c>
      <c r="N170" s="15" t="s">
        <v>294</v>
      </c>
      <c r="O170" s="24">
        <v>45383</v>
      </c>
      <c r="P170" s="15">
        <v>137.30000000000001</v>
      </c>
      <c r="Q170" s="4">
        <v>1</v>
      </c>
      <c r="R170" s="4">
        <f t="shared" ref="R170:R173" si="13">P170*Q170</f>
        <v>137.30000000000001</v>
      </c>
    </row>
    <row r="171" spans="2:18" ht="15" thickBot="1" x14ac:dyDescent="0.4">
      <c r="B171" s="4" t="s">
        <v>488</v>
      </c>
      <c r="C171" s="5" t="s">
        <v>489</v>
      </c>
      <c r="D171" s="5" t="s">
        <v>490</v>
      </c>
      <c r="E171" s="23">
        <v>45352</v>
      </c>
      <c r="F171" s="4">
        <v>150</v>
      </c>
      <c r="G171" s="4">
        <v>1</v>
      </c>
      <c r="H171" s="4">
        <f t="shared" si="12"/>
        <v>150</v>
      </c>
      <c r="J171" s="4"/>
      <c r="K171" s="4"/>
      <c r="L171" s="4" t="s">
        <v>486</v>
      </c>
      <c r="M171" s="5">
        <v>1651</v>
      </c>
      <c r="N171" s="5" t="s">
        <v>92</v>
      </c>
      <c r="O171" s="23">
        <v>45047</v>
      </c>
      <c r="P171" s="4">
        <v>24.64</v>
      </c>
      <c r="Q171" s="4">
        <v>3</v>
      </c>
      <c r="R171" s="4">
        <f t="shared" si="13"/>
        <v>73.92</v>
      </c>
    </row>
    <row r="172" spans="2:18" ht="15" thickBot="1" x14ac:dyDescent="0.4">
      <c r="B172" s="4" t="s">
        <v>504</v>
      </c>
      <c r="C172" s="5" t="s">
        <v>505</v>
      </c>
      <c r="D172" s="5" t="s">
        <v>484</v>
      </c>
      <c r="E172" s="23">
        <v>45597</v>
      </c>
      <c r="F172" s="4">
        <v>271</v>
      </c>
      <c r="G172" s="4">
        <v>1</v>
      </c>
      <c r="H172" s="4">
        <f t="shared" si="12"/>
        <v>271</v>
      </c>
      <c r="J172" s="4"/>
      <c r="K172" s="4"/>
      <c r="L172" s="4" t="s">
        <v>205</v>
      </c>
      <c r="M172" s="5">
        <v>160</v>
      </c>
      <c r="N172" s="5" t="s">
        <v>92</v>
      </c>
      <c r="O172" s="23">
        <v>45009</v>
      </c>
      <c r="P172" s="4">
        <v>137.30000000000001</v>
      </c>
      <c r="Q172" s="4">
        <v>2</v>
      </c>
      <c r="R172" s="4">
        <f t="shared" si="13"/>
        <v>274.60000000000002</v>
      </c>
    </row>
    <row r="173" spans="2:18" ht="15" thickBot="1" x14ac:dyDescent="0.4">
      <c r="B173" s="4" t="s">
        <v>393</v>
      </c>
      <c r="C173" s="5" t="s">
        <v>394</v>
      </c>
      <c r="D173" s="5" t="s">
        <v>32</v>
      </c>
      <c r="E173" s="23">
        <v>46266</v>
      </c>
      <c r="F173" s="4">
        <v>56.44</v>
      </c>
      <c r="G173" s="4">
        <v>1</v>
      </c>
      <c r="H173" s="4">
        <f t="shared" si="12"/>
        <v>56.44</v>
      </c>
      <c r="J173" s="4"/>
      <c r="K173" s="4"/>
      <c r="L173" s="4" t="s">
        <v>497</v>
      </c>
      <c r="M173" s="5" t="s">
        <v>498</v>
      </c>
      <c r="N173" s="5" t="s">
        <v>37</v>
      </c>
      <c r="O173" s="23">
        <v>45505</v>
      </c>
      <c r="P173" s="4">
        <v>133</v>
      </c>
      <c r="Q173" s="4">
        <v>1</v>
      </c>
      <c r="R173" s="4">
        <f t="shared" si="13"/>
        <v>133</v>
      </c>
    </row>
    <row r="174" spans="2:18" ht="15" thickBot="1" x14ac:dyDescent="0.4">
      <c r="B174" s="4" t="s">
        <v>147</v>
      </c>
      <c r="C174" s="5" t="s">
        <v>148</v>
      </c>
      <c r="D174" s="5" t="s">
        <v>149</v>
      </c>
      <c r="E174" s="23">
        <v>45901</v>
      </c>
      <c r="F174" s="4">
        <v>34.24</v>
      </c>
      <c r="G174" s="4">
        <v>1</v>
      </c>
      <c r="H174" s="4">
        <f t="shared" ref="H174:H189" si="14">F174*G174</f>
        <v>34.24</v>
      </c>
      <c r="J174" s="4"/>
      <c r="K174" s="4"/>
      <c r="L174" s="4"/>
      <c r="M174" s="5"/>
      <c r="N174" s="5"/>
      <c r="O174" s="6"/>
      <c r="P174" s="4"/>
      <c r="Q174" s="4"/>
      <c r="R174" s="4">
        <v>1962.12</v>
      </c>
    </row>
    <row r="175" spans="2:18" ht="15" thickBot="1" x14ac:dyDescent="0.4">
      <c r="B175" s="4"/>
      <c r="C175" s="5"/>
      <c r="D175" s="5"/>
      <c r="E175" s="6"/>
      <c r="F175" s="4"/>
      <c r="G175" s="4"/>
      <c r="H175" s="4">
        <f t="shared" si="14"/>
        <v>0</v>
      </c>
      <c r="J175" s="4"/>
      <c r="K175" s="4"/>
      <c r="L175" s="4"/>
      <c r="M175" s="5"/>
      <c r="N175" s="5"/>
      <c r="O175" s="6"/>
      <c r="P175" s="4"/>
      <c r="Q175" s="4"/>
      <c r="R175" s="4"/>
    </row>
    <row r="176" spans="2:18" ht="15" thickBot="1" x14ac:dyDescent="0.4">
      <c r="B176" s="4"/>
      <c r="C176" s="5"/>
      <c r="D176" s="5"/>
      <c r="E176" s="6"/>
      <c r="F176" s="4"/>
      <c r="G176" s="4"/>
      <c r="H176" s="4">
        <f t="shared" si="14"/>
        <v>0</v>
      </c>
      <c r="J176" s="4"/>
      <c r="K176" s="4"/>
      <c r="L176" s="4"/>
      <c r="M176" s="5"/>
      <c r="N176" s="5"/>
      <c r="O176" s="6"/>
      <c r="P176" s="4"/>
      <c r="Q176" s="4"/>
      <c r="R176" s="4"/>
    </row>
    <row r="177" spans="2:18" ht="15" thickBot="1" x14ac:dyDescent="0.4">
      <c r="B177" s="4"/>
      <c r="C177" s="5"/>
      <c r="D177" s="5"/>
      <c r="E177" s="6"/>
      <c r="F177" s="4"/>
      <c r="G177" s="4"/>
      <c r="H177" s="4">
        <f t="shared" si="14"/>
        <v>0</v>
      </c>
      <c r="J177" s="4"/>
      <c r="K177" s="4"/>
      <c r="L177" s="4"/>
      <c r="M177" s="5"/>
      <c r="N177" s="5"/>
      <c r="O177" s="6"/>
      <c r="P177" s="4"/>
      <c r="Q177" s="4"/>
      <c r="R177" s="4"/>
    </row>
    <row r="178" spans="2:18" ht="15" thickBot="1" x14ac:dyDescent="0.4">
      <c r="B178" s="4"/>
      <c r="C178" s="5"/>
      <c r="D178" s="5"/>
      <c r="E178" s="6"/>
      <c r="F178" s="4"/>
      <c r="G178" s="4"/>
      <c r="H178" s="4">
        <f t="shared" si="14"/>
        <v>0</v>
      </c>
      <c r="J178" s="4"/>
      <c r="K178" s="4"/>
      <c r="L178" s="4"/>
      <c r="M178" s="5"/>
      <c r="N178" s="5"/>
      <c r="O178" s="6"/>
      <c r="P178" s="4"/>
      <c r="Q178" s="4"/>
      <c r="R178" s="4"/>
    </row>
    <row r="179" spans="2:18" ht="15" thickBot="1" x14ac:dyDescent="0.4">
      <c r="B179" s="4"/>
      <c r="C179" s="5"/>
      <c r="D179" s="5"/>
      <c r="E179" s="6"/>
      <c r="F179" s="4"/>
      <c r="G179" s="4"/>
      <c r="H179" s="4">
        <f t="shared" si="14"/>
        <v>0</v>
      </c>
      <c r="J179" s="4"/>
      <c r="K179" s="4"/>
      <c r="L179" s="4"/>
      <c r="M179" s="5"/>
      <c r="N179" s="5"/>
      <c r="O179" s="6"/>
      <c r="P179" s="4"/>
      <c r="Q179" s="4"/>
      <c r="R179" s="4"/>
    </row>
    <row r="180" spans="2:18" ht="15" thickBot="1" x14ac:dyDescent="0.4">
      <c r="B180" s="4"/>
      <c r="C180" s="5"/>
      <c r="D180" s="5"/>
      <c r="E180" s="6"/>
      <c r="F180" s="4"/>
      <c r="G180" s="4"/>
      <c r="H180" s="4">
        <f t="shared" si="14"/>
        <v>0</v>
      </c>
      <c r="J180" s="4"/>
      <c r="K180" s="4"/>
      <c r="L180" s="4"/>
      <c r="M180" s="5"/>
      <c r="N180" s="5"/>
      <c r="O180" s="6"/>
      <c r="P180" s="4"/>
      <c r="Q180" s="4"/>
      <c r="R180" s="4"/>
    </row>
    <row r="181" spans="2:18" ht="15" thickBot="1" x14ac:dyDescent="0.4">
      <c r="B181" s="4"/>
      <c r="C181" s="5"/>
      <c r="D181" s="5"/>
      <c r="E181" s="6"/>
      <c r="F181" s="4"/>
      <c r="G181" s="4"/>
      <c r="H181" s="4">
        <f t="shared" si="14"/>
        <v>0</v>
      </c>
      <c r="J181" s="4"/>
      <c r="K181" s="4"/>
      <c r="L181" s="7"/>
      <c r="M181" s="8"/>
      <c r="N181" s="8"/>
      <c r="O181" s="8"/>
      <c r="P181" s="8"/>
      <c r="Q181" s="3"/>
      <c r="R181" s="9"/>
    </row>
    <row r="182" spans="2:18" ht="15" thickBot="1" x14ac:dyDescent="0.4">
      <c r="B182" s="4"/>
      <c r="C182" s="5"/>
      <c r="D182" s="5"/>
      <c r="E182" s="6"/>
      <c r="F182" s="4"/>
      <c r="G182" s="4"/>
      <c r="H182" s="4">
        <f t="shared" si="14"/>
        <v>0</v>
      </c>
      <c r="J182" s="4"/>
      <c r="K182" s="4"/>
      <c r="L182" s="7"/>
      <c r="M182" s="8"/>
      <c r="N182" s="8"/>
      <c r="O182" s="8"/>
      <c r="P182" s="8"/>
      <c r="Q182" s="8"/>
      <c r="R182" s="4"/>
    </row>
    <row r="183" spans="2:18" ht="15" thickBot="1" x14ac:dyDescent="0.4">
      <c r="B183" s="4"/>
      <c r="C183" s="5"/>
      <c r="D183" s="5"/>
      <c r="E183" s="6"/>
      <c r="F183" s="4"/>
      <c r="G183" s="4"/>
      <c r="H183" s="4">
        <f t="shared" si="14"/>
        <v>0</v>
      </c>
      <c r="J183" s="4"/>
      <c r="K183" s="4"/>
      <c r="L183" s="7"/>
      <c r="M183" s="8"/>
      <c r="N183" s="8"/>
      <c r="O183" s="8"/>
      <c r="P183" s="8"/>
      <c r="Q183" s="8"/>
      <c r="R183" s="4"/>
    </row>
    <row r="184" spans="2:18" ht="15" thickBot="1" x14ac:dyDescent="0.4">
      <c r="B184" s="4"/>
      <c r="C184" s="5"/>
      <c r="D184" s="5"/>
      <c r="E184" s="6"/>
      <c r="F184" s="4"/>
      <c r="G184" s="4"/>
      <c r="H184" s="4">
        <f t="shared" si="14"/>
        <v>0</v>
      </c>
      <c r="J184" s="4"/>
      <c r="K184" s="4"/>
      <c r="L184" s="7"/>
      <c r="M184" s="8"/>
      <c r="N184" s="8"/>
      <c r="O184" s="8"/>
      <c r="P184" s="8"/>
      <c r="Q184" s="8"/>
      <c r="R184" s="4"/>
    </row>
    <row r="185" spans="2:18" ht="15" thickBot="1" x14ac:dyDescent="0.4">
      <c r="B185" s="7"/>
      <c r="C185" s="8"/>
      <c r="D185" s="8"/>
      <c r="E185" s="8"/>
      <c r="F185" s="8"/>
      <c r="G185" s="8"/>
      <c r="H185" s="4">
        <f t="shared" si="14"/>
        <v>0</v>
      </c>
      <c r="J185" s="4"/>
      <c r="K185" s="4"/>
      <c r="L185" s="7"/>
      <c r="M185" s="8"/>
      <c r="N185" s="8"/>
      <c r="O185" s="8"/>
      <c r="P185" s="8"/>
      <c r="Q185" s="8"/>
      <c r="R185" s="4"/>
    </row>
    <row r="186" spans="2:18" ht="15" thickBot="1" x14ac:dyDescent="0.4">
      <c r="B186" s="7"/>
      <c r="C186" s="8"/>
      <c r="D186" s="8"/>
      <c r="E186" s="8"/>
      <c r="F186" s="8"/>
      <c r="G186" s="8"/>
      <c r="H186" s="4">
        <f t="shared" si="14"/>
        <v>0</v>
      </c>
      <c r="J186" s="4"/>
      <c r="K186" s="4"/>
      <c r="L186" s="18"/>
      <c r="M186" s="18"/>
      <c r="N186" s="18"/>
      <c r="O186" s="18"/>
      <c r="P186" s="18"/>
      <c r="Q186" s="18"/>
      <c r="R186" s="18"/>
    </row>
    <row r="187" spans="2:18" ht="15" thickBot="1" x14ac:dyDescent="0.4">
      <c r="B187" s="7"/>
      <c r="C187" s="8"/>
      <c r="D187" s="8"/>
      <c r="E187" s="8"/>
      <c r="F187" s="8"/>
      <c r="G187" s="8"/>
      <c r="H187" s="4">
        <f t="shared" si="14"/>
        <v>0</v>
      </c>
      <c r="J187" s="4"/>
      <c r="K187" s="4"/>
      <c r="L187" s="18"/>
      <c r="M187" s="18"/>
      <c r="N187" s="18"/>
      <c r="O187" s="18"/>
      <c r="P187" s="18"/>
      <c r="Q187" s="18"/>
      <c r="R187" s="18"/>
    </row>
    <row r="188" spans="2:18" ht="15" thickBot="1" x14ac:dyDescent="0.4">
      <c r="B188" s="7"/>
      <c r="C188" s="8"/>
      <c r="D188" s="8"/>
      <c r="E188" s="8"/>
      <c r="F188" s="8"/>
      <c r="G188" s="8"/>
      <c r="H188" s="4">
        <f t="shared" si="14"/>
        <v>0</v>
      </c>
      <c r="J188" s="4"/>
      <c r="K188" s="4"/>
      <c r="L188" s="18"/>
      <c r="M188" s="18"/>
      <c r="N188" s="18"/>
      <c r="O188" s="18"/>
      <c r="P188" s="18"/>
      <c r="Q188" s="18"/>
      <c r="R188" s="18"/>
    </row>
    <row r="189" spans="2:18" ht="15" thickBot="1" x14ac:dyDescent="0.4">
      <c r="B189" s="7"/>
      <c r="C189" s="8"/>
      <c r="D189" s="8"/>
      <c r="E189" s="8"/>
      <c r="F189" s="8"/>
      <c r="G189" s="8"/>
      <c r="H189" s="4">
        <f t="shared" si="14"/>
        <v>0</v>
      </c>
      <c r="J189" s="4"/>
      <c r="K189" s="4"/>
      <c r="L189" s="18"/>
      <c r="M189" s="18"/>
      <c r="N189" s="18"/>
      <c r="O189" s="18"/>
      <c r="P189" s="18"/>
      <c r="Q189" s="18"/>
      <c r="R189" s="18"/>
    </row>
    <row r="190" spans="2:18" ht="15" thickBot="1" x14ac:dyDescent="0.4">
      <c r="B190" s="55" t="s">
        <v>50</v>
      </c>
      <c r="C190" s="56"/>
      <c r="D190" s="56"/>
      <c r="E190" s="56"/>
      <c r="F190" s="56"/>
      <c r="G190" s="56"/>
      <c r="H190" s="9">
        <f>SUM(H165:H189)</f>
        <v>4084.88</v>
      </c>
      <c r="J190" s="4"/>
      <c r="K190" s="4"/>
      <c r="L190" s="18"/>
      <c r="M190" s="18"/>
      <c r="N190" s="18"/>
      <c r="O190" s="18"/>
      <c r="P190" s="18"/>
      <c r="Q190" s="18"/>
      <c r="R190" s="18"/>
    </row>
    <row r="191" spans="2:18" ht="15" thickBot="1" x14ac:dyDescent="0.4">
      <c r="B191" s="9" t="s">
        <v>51</v>
      </c>
      <c r="C191" s="53" t="str">
        <f>ConvertCurrencyToEnglish(H190)</f>
        <v>Rupees Four Thousand Eighty Four and Eighty Eight Paise Only</v>
      </c>
      <c r="D191" s="53"/>
      <c r="E191" s="53"/>
      <c r="F191" s="53"/>
      <c r="G191" s="53"/>
      <c r="H191" s="53"/>
      <c r="J191" s="4"/>
      <c r="K191" s="4"/>
      <c r="L191" s="4"/>
      <c r="M191" s="4"/>
      <c r="N191" s="4"/>
      <c r="O191" s="4"/>
      <c r="P191" s="4"/>
      <c r="Q191" s="4"/>
      <c r="R191" s="4"/>
    </row>
    <row r="192" spans="2:18" ht="15" thickBot="1" x14ac:dyDescent="0.4">
      <c r="B192" s="57" t="s">
        <v>52</v>
      </c>
      <c r="C192" s="57"/>
      <c r="D192" s="57"/>
      <c r="E192" s="57"/>
      <c r="F192" s="57"/>
      <c r="G192" s="57"/>
      <c r="H192" s="10">
        <f>H190/1.12</f>
        <v>3647.2142857142853</v>
      </c>
      <c r="J192" s="4"/>
      <c r="K192" s="4"/>
      <c r="L192" s="4"/>
      <c r="M192" s="4"/>
      <c r="N192" s="4"/>
      <c r="O192" s="4"/>
      <c r="P192" s="4"/>
      <c r="Q192" s="4"/>
      <c r="R192" s="4"/>
    </row>
    <row r="193" spans="2:18" ht="15" thickBot="1" x14ac:dyDescent="0.4">
      <c r="B193" s="57" t="s">
        <v>53</v>
      </c>
      <c r="C193" s="57"/>
      <c r="D193" s="57"/>
      <c r="E193" s="57"/>
      <c r="F193" s="57"/>
      <c r="G193" s="57"/>
      <c r="H193" s="10">
        <f>(H190-H192)/2</f>
        <v>218.83285714285739</v>
      </c>
      <c r="J193" s="4"/>
      <c r="K193" s="4"/>
      <c r="L193" s="4"/>
      <c r="M193" s="4"/>
      <c r="N193" s="4"/>
      <c r="O193" s="4"/>
      <c r="P193" s="4"/>
      <c r="Q193" s="4"/>
      <c r="R193" s="4"/>
    </row>
    <row r="194" spans="2:18" ht="15" thickBot="1" x14ac:dyDescent="0.4">
      <c r="B194" s="57" t="s">
        <v>54</v>
      </c>
      <c r="C194" s="57"/>
      <c r="D194" s="57"/>
      <c r="E194" s="57"/>
      <c r="F194" s="57"/>
      <c r="G194" s="57"/>
      <c r="H194" s="10">
        <f>(H190-H192)/2</f>
        <v>218.83285714285739</v>
      </c>
      <c r="J194" s="4"/>
      <c r="K194" s="4"/>
      <c r="L194" s="19"/>
      <c r="M194" s="10"/>
      <c r="N194" s="10"/>
      <c r="O194" s="10"/>
      <c r="P194" s="4"/>
      <c r="Q194" s="4"/>
      <c r="R194" s="18"/>
    </row>
    <row r="195" spans="2:18" ht="15" thickBot="1" x14ac:dyDescent="0.4">
      <c r="J195" s="4"/>
      <c r="K195" s="4"/>
      <c r="L195" s="10"/>
      <c r="M195" s="10"/>
      <c r="N195" s="10"/>
      <c r="O195" s="10"/>
      <c r="P195" s="4"/>
      <c r="Q195" s="4"/>
      <c r="R195" s="18"/>
    </row>
    <row r="196" spans="2:18" ht="15" thickBot="1" x14ac:dyDescent="0.4">
      <c r="J196" s="4"/>
      <c r="K196" s="4"/>
      <c r="L196" s="4"/>
      <c r="M196" s="4"/>
      <c r="N196" s="4"/>
      <c r="O196" s="4"/>
      <c r="P196" s="4"/>
      <c r="Q196" s="4"/>
      <c r="R196" s="4"/>
    </row>
    <row r="197" spans="2:18" ht="15" thickBot="1" x14ac:dyDescent="0.4">
      <c r="J197" s="4"/>
      <c r="K197" s="4"/>
      <c r="L197" s="4"/>
      <c r="M197" s="4"/>
      <c r="N197" s="4"/>
      <c r="O197" s="4"/>
      <c r="P197" s="4"/>
      <c r="Q197" s="4"/>
      <c r="R197" s="4"/>
    </row>
    <row r="198" spans="2:18" ht="15" thickBot="1" x14ac:dyDescent="0.4">
      <c r="B198" s="58" t="s">
        <v>55</v>
      </c>
      <c r="C198" s="59"/>
      <c r="D198" s="59"/>
      <c r="E198" s="59"/>
      <c r="H198" s="60" t="s">
        <v>56</v>
      </c>
      <c r="J198" s="4"/>
      <c r="K198" s="4"/>
      <c r="L198" s="4"/>
      <c r="M198" s="4"/>
      <c r="N198" s="4"/>
      <c r="O198" s="4"/>
      <c r="P198" s="4"/>
      <c r="Q198" s="4"/>
      <c r="R198" s="4"/>
    </row>
    <row r="199" spans="2:18" x14ac:dyDescent="0.35">
      <c r="B199" s="59"/>
      <c r="C199" s="59"/>
      <c r="D199" s="59"/>
      <c r="E199" s="59"/>
      <c r="H199" s="60"/>
    </row>
    <row r="202" spans="2:18" ht="15" thickBot="1" x14ac:dyDescent="0.4"/>
    <row r="203" spans="2:18" ht="15.5" x14ac:dyDescent="0.35">
      <c r="B203" s="44" t="s">
        <v>62</v>
      </c>
      <c r="C203" s="45"/>
      <c r="D203" s="45"/>
      <c r="E203" s="45"/>
      <c r="F203" s="45"/>
      <c r="G203" s="45"/>
      <c r="H203" s="46"/>
      <c r="J203" s="11"/>
      <c r="K203" s="27" t="s">
        <v>59</v>
      </c>
      <c r="L203" s="28"/>
      <c r="M203" s="28"/>
      <c r="N203" s="28"/>
      <c r="O203" s="28"/>
      <c r="P203" s="28"/>
      <c r="Q203" s="29"/>
      <c r="R203" s="11"/>
    </row>
    <row r="204" spans="2:18" ht="15.5" x14ac:dyDescent="0.35">
      <c r="B204" s="47"/>
      <c r="C204" s="48"/>
      <c r="D204" s="48"/>
      <c r="E204" s="48"/>
      <c r="F204" s="48"/>
      <c r="G204" s="48"/>
      <c r="H204" s="49"/>
      <c r="J204" s="11"/>
      <c r="K204" s="30"/>
      <c r="L204" s="31"/>
      <c r="M204" s="31"/>
      <c r="N204" s="31"/>
      <c r="O204" s="31"/>
      <c r="P204" s="31"/>
      <c r="Q204" s="32"/>
      <c r="R204" s="11"/>
    </row>
    <row r="205" spans="2:18" ht="16" thickBot="1" x14ac:dyDescent="0.4">
      <c r="B205" s="47"/>
      <c r="C205" s="48"/>
      <c r="D205" s="48"/>
      <c r="E205" s="48"/>
      <c r="F205" s="48"/>
      <c r="G205" s="48"/>
      <c r="H205" s="49"/>
      <c r="J205" s="11"/>
      <c r="K205" s="33"/>
      <c r="L205" s="34"/>
      <c r="M205" s="34"/>
      <c r="N205" s="34"/>
      <c r="O205" s="34"/>
      <c r="P205" s="34"/>
      <c r="Q205" s="35"/>
      <c r="R205" s="11"/>
    </row>
    <row r="206" spans="2:18" ht="15" thickBot="1" x14ac:dyDescent="0.4">
      <c r="B206" s="50"/>
      <c r="C206" s="51"/>
      <c r="D206" s="51"/>
      <c r="E206" s="51"/>
      <c r="F206" s="51"/>
      <c r="G206" s="51"/>
      <c r="H206" s="52"/>
    </row>
    <row r="207" spans="2:18" ht="15" thickBot="1" x14ac:dyDescent="0.4">
      <c r="K207" s="36" t="s">
        <v>1</v>
      </c>
      <c r="L207" s="37"/>
      <c r="M207" s="38"/>
      <c r="N207" s="42" t="str">
        <f>E7</f>
        <v>KABITA GOGOI(ESIC/S.H.R.C.)</v>
      </c>
      <c r="O207" s="43"/>
      <c r="P207" s="43"/>
      <c r="Q207" s="43"/>
      <c r="R207" s="12"/>
    </row>
    <row r="208" spans="2:18" ht="15" thickBot="1" x14ac:dyDescent="0.4">
      <c r="B208" s="54" t="s">
        <v>1</v>
      </c>
      <c r="C208" s="54"/>
      <c r="D208" s="54"/>
      <c r="E208" s="42" t="str">
        <f>E7</f>
        <v>KABITA GOGOI(ESIC/S.H.R.C.)</v>
      </c>
      <c r="F208" s="43"/>
      <c r="G208" s="43"/>
      <c r="H208" s="43"/>
      <c r="K208" s="39"/>
      <c r="L208" s="40"/>
      <c r="M208" s="41"/>
      <c r="N208" s="43"/>
      <c r="O208" s="43"/>
      <c r="P208" s="43"/>
      <c r="Q208" s="43"/>
      <c r="R208" s="12"/>
    </row>
    <row r="209" spans="2:18" ht="15" thickBot="1" x14ac:dyDescent="0.4">
      <c r="B209" s="54"/>
      <c r="C209" s="54"/>
      <c r="D209" s="54"/>
      <c r="E209" s="43"/>
      <c r="F209" s="43"/>
      <c r="G209" s="43"/>
      <c r="H209" s="43"/>
    </row>
    <row r="210" spans="2:18" ht="15" thickBot="1" x14ac:dyDescent="0.4">
      <c r="B210" s="48"/>
      <c r="C210" s="48"/>
      <c r="D210" s="48"/>
      <c r="E210" s="48"/>
      <c r="F210" s="48"/>
      <c r="G210" s="48"/>
      <c r="H210" s="48"/>
      <c r="J210" s="10" t="s">
        <v>57</v>
      </c>
      <c r="K210" s="10" t="s">
        <v>58</v>
      </c>
      <c r="L210" s="2" t="s">
        <v>4</v>
      </c>
      <c r="M210" s="2" t="s">
        <v>5</v>
      </c>
      <c r="N210" s="3" t="s">
        <v>6</v>
      </c>
      <c r="O210" s="2" t="s">
        <v>7</v>
      </c>
      <c r="P210" s="2" t="s">
        <v>8</v>
      </c>
      <c r="Q210" s="2" t="s">
        <v>60</v>
      </c>
      <c r="R210" s="2" t="s">
        <v>61</v>
      </c>
    </row>
    <row r="211" spans="2:18" ht="15" thickBot="1" x14ac:dyDescent="0.4">
      <c r="J211" s="4"/>
      <c r="K211" s="13"/>
      <c r="L211" s="14"/>
      <c r="M211" s="15"/>
      <c r="N211" s="15"/>
      <c r="O211" s="16"/>
      <c r="P211" s="14"/>
      <c r="Q211" s="14"/>
      <c r="R211" s="15"/>
    </row>
    <row r="212" spans="2:18" ht="15" thickBot="1" x14ac:dyDescent="0.4">
      <c r="B212" s="1" t="s">
        <v>508</v>
      </c>
      <c r="G212" s="1"/>
      <c r="H212" s="13" t="s">
        <v>513</v>
      </c>
      <c r="J212" s="4"/>
      <c r="K212" s="10"/>
      <c r="L212" s="14"/>
      <c r="M212" s="15"/>
      <c r="N212" s="15"/>
      <c r="O212" s="16"/>
      <c r="P212" s="14"/>
      <c r="Q212" s="14"/>
      <c r="R212" s="15"/>
    </row>
    <row r="213" spans="2:18" ht="15" thickBot="1" x14ac:dyDescent="0.4">
      <c r="J213" s="4"/>
      <c r="K213" s="4"/>
      <c r="L213" s="14"/>
      <c r="M213" s="15"/>
      <c r="N213" s="15"/>
      <c r="O213" s="16"/>
      <c r="P213" s="14"/>
      <c r="Q213" s="14"/>
      <c r="R213" s="15"/>
    </row>
    <row r="214" spans="2:18" ht="15" thickBot="1" x14ac:dyDescent="0.4">
      <c r="B214" s="2" t="s">
        <v>4</v>
      </c>
      <c r="C214" s="2" t="s">
        <v>5</v>
      </c>
      <c r="D214" s="3" t="s">
        <v>6</v>
      </c>
      <c r="E214" s="2" t="s">
        <v>7</v>
      </c>
      <c r="F214" s="2" t="s">
        <v>8</v>
      </c>
      <c r="G214" s="2" t="s">
        <v>9</v>
      </c>
      <c r="H214" s="2" t="s">
        <v>10</v>
      </c>
      <c r="J214" s="4"/>
      <c r="K214" s="4"/>
      <c r="L214" s="14"/>
      <c r="M214" s="15"/>
      <c r="N214" s="15"/>
      <c r="O214" s="16"/>
      <c r="P214" s="14"/>
      <c r="Q214" s="14"/>
      <c r="R214" s="15"/>
    </row>
    <row r="215" spans="2:18" ht="15" thickBot="1" x14ac:dyDescent="0.4">
      <c r="B215" s="14" t="s">
        <v>485</v>
      </c>
      <c r="C215" s="15" t="s">
        <v>293</v>
      </c>
      <c r="D215" s="15" t="s">
        <v>294</v>
      </c>
      <c r="E215" s="24">
        <v>45383</v>
      </c>
      <c r="F215" s="15">
        <v>137.30000000000001</v>
      </c>
      <c r="G215" s="4">
        <v>1</v>
      </c>
      <c r="H215" s="4">
        <f>F215*G215</f>
        <v>137.30000000000001</v>
      </c>
      <c r="J215" s="4"/>
      <c r="K215" s="4"/>
      <c r="L215" s="14"/>
      <c r="M215" s="15"/>
      <c r="N215" s="15"/>
      <c r="O215" s="16"/>
      <c r="P215" s="14"/>
      <c r="Q215" s="14"/>
      <c r="R215" s="15"/>
    </row>
    <row r="216" spans="2:18" ht="15" thickBot="1" x14ac:dyDescent="0.4">
      <c r="B216" s="4" t="s">
        <v>486</v>
      </c>
      <c r="C216" s="5">
        <v>1651</v>
      </c>
      <c r="D216" s="5" t="s">
        <v>92</v>
      </c>
      <c r="E216" s="23">
        <v>45047</v>
      </c>
      <c r="F216" s="4">
        <v>24.64</v>
      </c>
      <c r="G216" s="4">
        <v>3</v>
      </c>
      <c r="H216" s="4">
        <f t="shared" ref="H216:H239" si="15">F216*G216</f>
        <v>73.92</v>
      </c>
      <c r="J216" s="4"/>
      <c r="K216" s="4"/>
      <c r="L216" s="14"/>
      <c r="M216" s="15"/>
      <c r="N216" s="15"/>
      <c r="O216" s="16"/>
      <c r="P216" s="14"/>
      <c r="Q216" s="14"/>
      <c r="R216" s="15"/>
    </row>
    <row r="217" spans="2:18" ht="15" thickBot="1" x14ac:dyDescent="0.4">
      <c r="B217" s="14" t="s">
        <v>487</v>
      </c>
      <c r="C217" s="15">
        <v>22004</v>
      </c>
      <c r="D217" s="15" t="s">
        <v>294</v>
      </c>
      <c r="E217" s="24">
        <v>45413</v>
      </c>
      <c r="F217" s="15">
        <v>968.9</v>
      </c>
      <c r="G217" s="4">
        <v>3</v>
      </c>
      <c r="H217" s="4">
        <f t="shared" si="15"/>
        <v>2906.7</v>
      </c>
      <c r="J217" s="4"/>
      <c r="K217" s="4"/>
      <c r="L217" s="14"/>
      <c r="M217" s="15"/>
      <c r="N217" s="15"/>
      <c r="O217" s="16"/>
      <c r="P217" s="14"/>
      <c r="Q217" s="14"/>
      <c r="R217" s="15"/>
    </row>
    <row r="218" spans="2:18" ht="15" thickBot="1" x14ac:dyDescent="0.4">
      <c r="B218" s="4" t="s">
        <v>205</v>
      </c>
      <c r="C218" s="5">
        <v>160</v>
      </c>
      <c r="D218" s="5" t="s">
        <v>92</v>
      </c>
      <c r="E218" s="23">
        <v>45009</v>
      </c>
      <c r="F218" s="4">
        <v>137.30000000000001</v>
      </c>
      <c r="G218" s="4">
        <v>2</v>
      </c>
      <c r="H218" s="4">
        <f t="shared" si="15"/>
        <v>274.60000000000002</v>
      </c>
      <c r="J218" s="4"/>
      <c r="K218" s="4"/>
      <c r="L218" s="14"/>
      <c r="M218" s="15"/>
      <c r="N218" s="15"/>
      <c r="O218" s="16"/>
      <c r="P218" s="14"/>
      <c r="Q218" s="14"/>
      <c r="R218" s="15"/>
    </row>
    <row r="219" spans="2:18" ht="15" thickBot="1" x14ac:dyDescent="0.4">
      <c r="B219" s="4" t="s">
        <v>493</v>
      </c>
      <c r="C219" s="5" t="s">
        <v>494</v>
      </c>
      <c r="D219" s="5" t="s">
        <v>495</v>
      </c>
      <c r="E219" s="23">
        <v>45474</v>
      </c>
      <c r="F219" s="4">
        <v>33.46</v>
      </c>
      <c r="G219" s="4">
        <v>1</v>
      </c>
      <c r="H219" s="4">
        <f t="shared" si="15"/>
        <v>33.46</v>
      </c>
      <c r="J219" s="4"/>
      <c r="K219" s="4"/>
      <c r="L219" s="14"/>
      <c r="M219" s="15"/>
      <c r="N219" s="15"/>
      <c r="O219" s="16"/>
      <c r="P219" s="14"/>
      <c r="Q219" s="14"/>
      <c r="R219" s="15"/>
    </row>
    <row r="220" spans="2:18" ht="15" thickBot="1" x14ac:dyDescent="0.4">
      <c r="B220" s="14" t="s">
        <v>355</v>
      </c>
      <c r="C220" s="15" t="s">
        <v>356</v>
      </c>
      <c r="D220" s="15" t="s">
        <v>149</v>
      </c>
      <c r="E220" s="24">
        <v>45627</v>
      </c>
      <c r="F220" s="15">
        <v>37.92</v>
      </c>
      <c r="G220" s="4">
        <v>3</v>
      </c>
      <c r="H220" s="4">
        <f t="shared" si="15"/>
        <v>113.76</v>
      </c>
      <c r="J220" s="4"/>
      <c r="K220" s="4"/>
      <c r="L220" s="14"/>
      <c r="M220" s="15"/>
      <c r="N220" s="15"/>
      <c r="O220" s="16"/>
      <c r="P220" s="14"/>
      <c r="Q220" s="14"/>
      <c r="R220" s="15"/>
    </row>
    <row r="221" spans="2:18" ht="15" thickBot="1" x14ac:dyDescent="0.4">
      <c r="B221" s="4" t="s">
        <v>504</v>
      </c>
      <c r="C221" s="5" t="s">
        <v>505</v>
      </c>
      <c r="D221" s="5" t="s">
        <v>484</v>
      </c>
      <c r="E221" s="23">
        <v>45597</v>
      </c>
      <c r="F221" s="4">
        <v>271</v>
      </c>
      <c r="G221" s="4">
        <v>1</v>
      </c>
      <c r="H221" s="4">
        <f t="shared" si="15"/>
        <v>271</v>
      </c>
      <c r="J221" s="4"/>
      <c r="K221" s="4"/>
      <c r="L221" s="14"/>
      <c r="M221" s="15"/>
      <c r="N221" s="15"/>
      <c r="O221" s="16"/>
      <c r="P221" s="14"/>
      <c r="Q221" s="14"/>
      <c r="R221" s="15"/>
    </row>
    <row r="222" spans="2:18" ht="15" thickBot="1" x14ac:dyDescent="0.4">
      <c r="B222" s="4" t="s">
        <v>393</v>
      </c>
      <c r="C222" s="5" t="s">
        <v>394</v>
      </c>
      <c r="D222" s="5" t="s">
        <v>32</v>
      </c>
      <c r="E222" s="23">
        <v>46266</v>
      </c>
      <c r="F222" s="4">
        <v>56.44</v>
      </c>
      <c r="G222" s="4">
        <v>1</v>
      </c>
      <c r="H222" s="4">
        <f t="shared" si="15"/>
        <v>56.44</v>
      </c>
      <c r="J222" s="4"/>
      <c r="K222" s="4"/>
      <c r="L222" s="17"/>
      <c r="M222" s="20"/>
      <c r="N222" s="20"/>
      <c r="O222" s="20"/>
      <c r="P222" s="20"/>
      <c r="Q222" s="20"/>
      <c r="R222" s="17"/>
    </row>
    <row r="223" spans="2:18" ht="15" thickBot="1" x14ac:dyDescent="0.4">
      <c r="B223" s="4"/>
      <c r="C223" s="5"/>
      <c r="D223" s="5"/>
      <c r="E223" s="6"/>
      <c r="F223" s="4"/>
      <c r="G223" s="4"/>
      <c r="H223" s="4">
        <f t="shared" si="15"/>
        <v>0</v>
      </c>
      <c r="J223" s="4"/>
      <c r="K223" s="4"/>
      <c r="L223" s="4"/>
      <c r="M223" s="5"/>
      <c r="N223" s="5"/>
      <c r="O223" s="6"/>
      <c r="P223" s="4"/>
      <c r="Q223" s="4"/>
      <c r="R223" s="4"/>
    </row>
    <row r="224" spans="2:18" ht="15" thickBot="1" x14ac:dyDescent="0.4">
      <c r="B224" s="4"/>
      <c r="C224" s="5"/>
      <c r="D224" s="5"/>
      <c r="E224" s="6"/>
      <c r="F224" s="4"/>
      <c r="G224" s="4"/>
      <c r="H224" s="4">
        <f t="shared" si="15"/>
        <v>0</v>
      </c>
      <c r="J224" s="4"/>
      <c r="K224" s="4"/>
      <c r="L224" s="4"/>
      <c r="M224" s="5"/>
      <c r="N224" s="5"/>
      <c r="O224" s="6"/>
      <c r="P224" s="4"/>
      <c r="Q224" s="4"/>
      <c r="R224" s="4"/>
    </row>
    <row r="225" spans="2:18" ht="15" thickBot="1" x14ac:dyDescent="0.4">
      <c r="B225" s="4"/>
      <c r="C225" s="5"/>
      <c r="D225" s="5"/>
      <c r="E225" s="6"/>
      <c r="F225" s="4"/>
      <c r="G225" s="4"/>
      <c r="H225" s="4">
        <f t="shared" si="15"/>
        <v>0</v>
      </c>
      <c r="J225" s="4"/>
      <c r="K225" s="4"/>
      <c r="L225" s="4"/>
      <c r="M225" s="5"/>
      <c r="N225" s="5"/>
      <c r="O225" s="6"/>
      <c r="P225" s="4"/>
      <c r="Q225" s="4"/>
      <c r="R225" s="4"/>
    </row>
    <row r="226" spans="2:18" ht="15" thickBot="1" x14ac:dyDescent="0.4">
      <c r="B226" s="4"/>
      <c r="C226" s="5"/>
      <c r="D226" s="5"/>
      <c r="E226" s="6"/>
      <c r="F226" s="4"/>
      <c r="G226" s="4"/>
      <c r="H226" s="4">
        <f t="shared" si="15"/>
        <v>0</v>
      </c>
      <c r="J226" s="4"/>
      <c r="K226" s="4"/>
      <c r="L226" s="4"/>
      <c r="M226" s="5"/>
      <c r="N226" s="5"/>
      <c r="O226" s="6"/>
      <c r="P226" s="4"/>
      <c r="Q226" s="4"/>
      <c r="R226" s="4"/>
    </row>
    <row r="227" spans="2:18" ht="15" thickBot="1" x14ac:dyDescent="0.4">
      <c r="B227" s="4"/>
      <c r="C227" s="5"/>
      <c r="D227" s="5"/>
      <c r="E227" s="6"/>
      <c r="F227" s="4"/>
      <c r="G227" s="4"/>
      <c r="H227" s="4">
        <f t="shared" si="15"/>
        <v>0</v>
      </c>
      <c r="J227" s="4"/>
      <c r="K227" s="4"/>
      <c r="L227" s="4"/>
      <c r="M227" s="5"/>
      <c r="N227" s="5"/>
      <c r="O227" s="6"/>
      <c r="P227" s="4"/>
      <c r="Q227" s="4"/>
      <c r="R227" s="4"/>
    </row>
    <row r="228" spans="2:18" ht="15" thickBot="1" x14ac:dyDescent="0.4">
      <c r="B228" s="4"/>
      <c r="C228" s="5"/>
      <c r="D228" s="5"/>
      <c r="E228" s="6"/>
      <c r="F228" s="4"/>
      <c r="G228" s="4"/>
      <c r="H228" s="4">
        <f t="shared" si="15"/>
        <v>0</v>
      </c>
      <c r="J228" s="4"/>
      <c r="K228" s="4"/>
      <c r="L228" s="4"/>
      <c r="M228" s="5"/>
      <c r="N228" s="5"/>
      <c r="O228" s="6"/>
      <c r="P228" s="4"/>
      <c r="Q228" s="4"/>
      <c r="R228" s="4"/>
    </row>
    <row r="229" spans="2:18" ht="15" thickBot="1" x14ac:dyDescent="0.4">
      <c r="B229" s="4"/>
      <c r="C229" s="5"/>
      <c r="D229" s="5"/>
      <c r="E229" s="6"/>
      <c r="F229" s="4"/>
      <c r="G229" s="4"/>
      <c r="H229" s="4">
        <f t="shared" si="15"/>
        <v>0</v>
      </c>
      <c r="J229" s="4"/>
      <c r="K229" s="4"/>
      <c r="L229" s="4"/>
      <c r="M229" s="5"/>
      <c r="N229" s="5"/>
      <c r="O229" s="6"/>
      <c r="P229" s="4"/>
      <c r="Q229" s="4"/>
      <c r="R229" s="4"/>
    </row>
    <row r="230" spans="2:18" ht="15" thickBot="1" x14ac:dyDescent="0.4">
      <c r="B230" s="4"/>
      <c r="C230" s="5"/>
      <c r="D230" s="5"/>
      <c r="E230" s="6"/>
      <c r="F230" s="4"/>
      <c r="G230" s="4"/>
      <c r="H230" s="4">
        <f t="shared" si="15"/>
        <v>0</v>
      </c>
      <c r="J230" s="4"/>
      <c r="K230" s="4"/>
      <c r="L230" s="4"/>
      <c r="M230" s="5"/>
      <c r="N230" s="5"/>
      <c r="O230" s="6"/>
      <c r="P230" s="4"/>
      <c r="Q230" s="4"/>
      <c r="R230" s="4"/>
    </row>
    <row r="231" spans="2:18" ht="15" thickBot="1" x14ac:dyDescent="0.4">
      <c r="B231" s="4"/>
      <c r="C231" s="5"/>
      <c r="D231" s="5"/>
      <c r="E231" s="6"/>
      <c r="F231" s="4"/>
      <c r="G231" s="4"/>
      <c r="H231" s="4">
        <f t="shared" si="15"/>
        <v>0</v>
      </c>
      <c r="J231" s="4"/>
      <c r="K231" s="4"/>
      <c r="L231" s="7"/>
      <c r="M231" s="8"/>
      <c r="N231" s="8"/>
      <c r="O231" s="8"/>
      <c r="P231" s="8"/>
      <c r="Q231" s="3"/>
      <c r="R231" s="9"/>
    </row>
    <row r="232" spans="2:18" ht="15" thickBot="1" x14ac:dyDescent="0.4">
      <c r="B232" s="4"/>
      <c r="C232" s="5"/>
      <c r="D232" s="5"/>
      <c r="E232" s="6"/>
      <c r="F232" s="4"/>
      <c r="G232" s="4"/>
      <c r="H232" s="4">
        <f t="shared" si="15"/>
        <v>0</v>
      </c>
      <c r="J232" s="4"/>
      <c r="K232" s="4"/>
      <c r="L232" s="7"/>
      <c r="M232" s="8"/>
      <c r="N232" s="8"/>
      <c r="O232" s="8"/>
      <c r="P232" s="8"/>
      <c r="Q232" s="8"/>
      <c r="R232" s="4"/>
    </row>
    <row r="233" spans="2:18" ht="15" thickBot="1" x14ac:dyDescent="0.4">
      <c r="B233" s="4"/>
      <c r="C233" s="5"/>
      <c r="D233" s="5"/>
      <c r="E233" s="6"/>
      <c r="F233" s="4"/>
      <c r="G233" s="4"/>
      <c r="H233" s="4">
        <f t="shared" si="15"/>
        <v>0</v>
      </c>
      <c r="J233" s="4"/>
      <c r="K233" s="4"/>
      <c r="L233" s="7"/>
      <c r="M233" s="8"/>
      <c r="N233" s="8"/>
      <c r="O233" s="8"/>
      <c r="P233" s="8"/>
      <c r="Q233" s="8"/>
      <c r="R233" s="4"/>
    </row>
    <row r="234" spans="2:18" ht="15" thickBot="1" x14ac:dyDescent="0.4">
      <c r="B234" s="4"/>
      <c r="C234" s="5"/>
      <c r="D234" s="5"/>
      <c r="E234" s="6"/>
      <c r="F234" s="4"/>
      <c r="G234" s="4"/>
      <c r="H234" s="4">
        <f t="shared" si="15"/>
        <v>0</v>
      </c>
      <c r="J234" s="4"/>
      <c r="K234" s="4"/>
      <c r="L234" s="7"/>
      <c r="M234" s="8"/>
      <c r="N234" s="8"/>
      <c r="O234" s="8"/>
      <c r="P234" s="8"/>
      <c r="Q234" s="8"/>
      <c r="R234" s="4"/>
    </row>
    <row r="235" spans="2:18" ht="15" thickBot="1" x14ac:dyDescent="0.4">
      <c r="B235" s="7"/>
      <c r="C235" s="8"/>
      <c r="D235" s="8"/>
      <c r="E235" s="8"/>
      <c r="F235" s="8"/>
      <c r="G235" s="8"/>
      <c r="H235" s="4">
        <f t="shared" si="15"/>
        <v>0</v>
      </c>
      <c r="J235" s="4"/>
      <c r="K235" s="4"/>
      <c r="L235" s="7"/>
      <c r="M235" s="8"/>
      <c r="N235" s="8"/>
      <c r="O235" s="8"/>
      <c r="P235" s="8"/>
      <c r="Q235" s="8"/>
      <c r="R235" s="4"/>
    </row>
    <row r="236" spans="2:18" ht="15" thickBot="1" x14ac:dyDescent="0.4">
      <c r="B236" s="7"/>
      <c r="C236" s="8"/>
      <c r="D236" s="8"/>
      <c r="E236" s="8"/>
      <c r="F236" s="8"/>
      <c r="G236" s="8"/>
      <c r="H236" s="4">
        <f t="shared" si="15"/>
        <v>0</v>
      </c>
      <c r="J236" s="4"/>
      <c r="K236" s="4"/>
      <c r="L236" s="18"/>
      <c r="M236" s="18"/>
      <c r="N236" s="18"/>
      <c r="O236" s="18"/>
      <c r="P236" s="18"/>
      <c r="Q236" s="18"/>
      <c r="R236" s="18"/>
    </row>
    <row r="237" spans="2:18" ht="15" thickBot="1" x14ac:dyDescent="0.4">
      <c r="B237" s="7"/>
      <c r="C237" s="8"/>
      <c r="D237" s="8"/>
      <c r="E237" s="8"/>
      <c r="F237" s="8"/>
      <c r="G237" s="8"/>
      <c r="H237" s="4">
        <f t="shared" si="15"/>
        <v>0</v>
      </c>
      <c r="J237" s="4"/>
      <c r="K237" s="4"/>
      <c r="L237" s="18"/>
      <c r="M237" s="18"/>
      <c r="N237" s="18"/>
      <c r="O237" s="18"/>
      <c r="P237" s="18"/>
      <c r="Q237" s="18"/>
      <c r="R237" s="18"/>
    </row>
    <row r="238" spans="2:18" ht="15" thickBot="1" x14ac:dyDescent="0.4">
      <c r="B238" s="7"/>
      <c r="C238" s="8"/>
      <c r="D238" s="8"/>
      <c r="E238" s="8"/>
      <c r="F238" s="8"/>
      <c r="G238" s="8"/>
      <c r="H238" s="4">
        <f t="shared" si="15"/>
        <v>0</v>
      </c>
      <c r="J238" s="4"/>
      <c r="K238" s="4"/>
      <c r="L238" s="18"/>
      <c r="M238" s="18"/>
      <c r="N238" s="18"/>
      <c r="O238" s="18"/>
      <c r="P238" s="18"/>
      <c r="Q238" s="18"/>
      <c r="R238" s="18"/>
    </row>
    <row r="239" spans="2:18" ht="15" thickBot="1" x14ac:dyDescent="0.4">
      <c r="B239" s="7"/>
      <c r="C239" s="8"/>
      <c r="D239" s="8"/>
      <c r="E239" s="8"/>
      <c r="F239" s="8"/>
      <c r="G239" s="8"/>
      <c r="H239" s="4">
        <f t="shared" si="15"/>
        <v>0</v>
      </c>
      <c r="J239" s="4"/>
      <c r="K239" s="4"/>
      <c r="L239" s="18"/>
      <c r="M239" s="18"/>
      <c r="N239" s="18"/>
      <c r="O239" s="18"/>
      <c r="P239" s="18"/>
      <c r="Q239" s="18"/>
      <c r="R239" s="18"/>
    </row>
    <row r="240" spans="2:18" ht="15" thickBot="1" x14ac:dyDescent="0.4">
      <c r="B240" s="55" t="s">
        <v>50</v>
      </c>
      <c r="C240" s="56"/>
      <c r="D240" s="56"/>
      <c r="E240" s="56"/>
      <c r="F240" s="56"/>
      <c r="G240" s="56"/>
      <c r="H240" s="9">
        <f>SUM(H215:H239)</f>
        <v>3867.1800000000003</v>
      </c>
      <c r="J240" s="4"/>
      <c r="K240" s="4"/>
      <c r="L240" s="18"/>
      <c r="M240" s="18"/>
      <c r="N240" s="18"/>
      <c r="O240" s="18"/>
      <c r="P240" s="18"/>
      <c r="Q240" s="18"/>
      <c r="R240" s="18"/>
    </row>
    <row r="241" spans="2:18" ht="15" thickBot="1" x14ac:dyDescent="0.4">
      <c r="B241" s="9" t="s">
        <v>51</v>
      </c>
      <c r="C241" s="53" t="str">
        <f>ConvertCurrencyToEnglish(H240)</f>
        <v>Rupees Three Thousand Eight Hundred Sixty Seven and Eighteen Paise Only</v>
      </c>
      <c r="D241" s="53"/>
      <c r="E241" s="53"/>
      <c r="F241" s="53"/>
      <c r="G241" s="53"/>
      <c r="H241" s="53"/>
      <c r="J241" s="4"/>
      <c r="K241" s="4"/>
      <c r="L241" s="4"/>
      <c r="M241" s="4"/>
      <c r="N241" s="4"/>
      <c r="O241" s="4"/>
      <c r="P241" s="4"/>
      <c r="Q241" s="4"/>
      <c r="R241" s="4"/>
    </row>
    <row r="242" spans="2:18" ht="15" thickBot="1" x14ac:dyDescent="0.4">
      <c r="B242" s="57" t="s">
        <v>52</v>
      </c>
      <c r="C242" s="57"/>
      <c r="D242" s="57"/>
      <c r="E242" s="57"/>
      <c r="F242" s="57"/>
      <c r="G242" s="57"/>
      <c r="H242" s="10">
        <f>H240/1.12</f>
        <v>3452.8392857142858</v>
      </c>
      <c r="J242" s="4"/>
      <c r="K242" s="4"/>
      <c r="L242" s="4"/>
      <c r="M242" s="4"/>
      <c r="N242" s="4"/>
      <c r="O242" s="4"/>
      <c r="P242" s="4"/>
      <c r="Q242" s="4"/>
      <c r="R242" s="4"/>
    </row>
    <row r="243" spans="2:18" ht="15" thickBot="1" x14ac:dyDescent="0.4">
      <c r="B243" s="57" t="s">
        <v>53</v>
      </c>
      <c r="C243" s="57"/>
      <c r="D243" s="57"/>
      <c r="E243" s="57"/>
      <c r="F243" s="57"/>
      <c r="G243" s="57"/>
      <c r="H243" s="10">
        <f>(H240-H242)/2</f>
        <v>207.17035714285726</v>
      </c>
      <c r="J243" s="4"/>
      <c r="K243" s="4"/>
      <c r="L243" s="4"/>
      <c r="M243" s="4"/>
      <c r="N243" s="4"/>
      <c r="O243" s="4"/>
      <c r="P243" s="4"/>
      <c r="Q243" s="4"/>
      <c r="R243" s="4"/>
    </row>
    <row r="244" spans="2:18" ht="15" thickBot="1" x14ac:dyDescent="0.4">
      <c r="B244" s="57" t="s">
        <v>54</v>
      </c>
      <c r="C244" s="57"/>
      <c r="D244" s="57"/>
      <c r="E244" s="57"/>
      <c r="F244" s="57"/>
      <c r="G244" s="57"/>
      <c r="H244" s="10">
        <f>(H240-H242)/2</f>
        <v>207.17035714285726</v>
      </c>
      <c r="J244" s="4"/>
      <c r="K244" s="4"/>
      <c r="L244" s="19"/>
      <c r="M244" s="10"/>
      <c r="N244" s="10"/>
      <c r="O244" s="10"/>
      <c r="P244" s="4"/>
      <c r="Q244" s="4"/>
      <c r="R244" s="18"/>
    </row>
    <row r="245" spans="2:18" ht="15" thickBot="1" x14ac:dyDescent="0.4">
      <c r="J245" s="4"/>
      <c r="K245" s="4"/>
      <c r="L245" s="10"/>
      <c r="M245" s="10"/>
      <c r="N245" s="10"/>
      <c r="O245" s="10"/>
      <c r="P245" s="4"/>
      <c r="Q245" s="4"/>
      <c r="R245" s="18"/>
    </row>
    <row r="246" spans="2:18" ht="15" thickBot="1" x14ac:dyDescent="0.4">
      <c r="J246" s="4"/>
      <c r="K246" s="4"/>
      <c r="L246" s="4"/>
      <c r="M246" s="4"/>
      <c r="N246" s="4"/>
      <c r="O246" s="4"/>
      <c r="P246" s="4"/>
      <c r="Q246" s="4"/>
      <c r="R246" s="4"/>
    </row>
    <row r="247" spans="2:18" ht="15" thickBot="1" x14ac:dyDescent="0.4">
      <c r="J247" s="4"/>
      <c r="K247" s="4"/>
      <c r="L247" s="4"/>
      <c r="M247" s="4"/>
      <c r="N247" s="4"/>
      <c r="O247" s="4"/>
      <c r="P247" s="4"/>
      <c r="Q247" s="4"/>
      <c r="R247" s="4"/>
    </row>
    <row r="248" spans="2:18" ht="15" thickBot="1" x14ac:dyDescent="0.4">
      <c r="B248" s="58" t="s">
        <v>55</v>
      </c>
      <c r="C248" s="59"/>
      <c r="D248" s="59"/>
      <c r="E248" s="59"/>
      <c r="H248" s="60" t="s">
        <v>56</v>
      </c>
      <c r="J248" s="4"/>
      <c r="K248" s="4"/>
      <c r="L248" s="4"/>
      <c r="M248" s="4"/>
      <c r="N248" s="4"/>
      <c r="O248" s="4"/>
      <c r="P248" s="4"/>
      <c r="Q248" s="4"/>
      <c r="R248" s="4"/>
    </row>
    <row r="249" spans="2:18" x14ac:dyDescent="0.35">
      <c r="B249" s="59"/>
      <c r="C249" s="59"/>
      <c r="D249" s="59"/>
      <c r="E249" s="59"/>
      <c r="H249" s="60"/>
    </row>
    <row r="252" spans="2:18" ht="15" thickBot="1" x14ac:dyDescent="0.4"/>
    <row r="253" spans="2:18" ht="15.5" x14ac:dyDescent="0.35">
      <c r="B253" s="44" t="s">
        <v>62</v>
      </c>
      <c r="C253" s="45"/>
      <c r="D253" s="45"/>
      <c r="E253" s="45"/>
      <c r="F253" s="45"/>
      <c r="G253" s="45"/>
      <c r="H253" s="46"/>
      <c r="J253" s="11"/>
      <c r="K253" s="27" t="s">
        <v>59</v>
      </c>
      <c r="L253" s="28"/>
      <c r="M253" s="28"/>
      <c r="N253" s="28"/>
      <c r="O253" s="28"/>
      <c r="P253" s="28"/>
      <c r="Q253" s="29"/>
      <c r="R253" s="11"/>
    </row>
    <row r="254" spans="2:18" ht="15.5" x14ac:dyDescent="0.35">
      <c r="B254" s="47"/>
      <c r="C254" s="48"/>
      <c r="D254" s="48"/>
      <c r="E254" s="48"/>
      <c r="F254" s="48"/>
      <c r="G254" s="48"/>
      <c r="H254" s="49"/>
      <c r="J254" s="11"/>
      <c r="K254" s="30"/>
      <c r="L254" s="31"/>
      <c r="M254" s="31"/>
      <c r="N254" s="31"/>
      <c r="O254" s="31"/>
      <c r="P254" s="31"/>
      <c r="Q254" s="32"/>
      <c r="R254" s="11"/>
    </row>
    <row r="255" spans="2:18" ht="16" thickBot="1" x14ac:dyDescent="0.4">
      <c r="B255" s="47"/>
      <c r="C255" s="48"/>
      <c r="D255" s="48"/>
      <c r="E255" s="48"/>
      <c r="F255" s="48"/>
      <c r="G255" s="48"/>
      <c r="H255" s="49"/>
      <c r="J255" s="11"/>
      <c r="K255" s="33"/>
      <c r="L255" s="34"/>
      <c r="M255" s="34"/>
      <c r="N255" s="34"/>
      <c r="O255" s="34"/>
      <c r="P255" s="34"/>
      <c r="Q255" s="35"/>
      <c r="R255" s="11"/>
    </row>
    <row r="256" spans="2:18" ht="15" thickBot="1" x14ac:dyDescent="0.4">
      <c r="B256" s="50"/>
      <c r="C256" s="51"/>
      <c r="D256" s="51"/>
      <c r="E256" s="51"/>
      <c r="F256" s="51"/>
      <c r="G256" s="51"/>
      <c r="H256" s="52"/>
    </row>
    <row r="257" spans="2:18" ht="15" thickBot="1" x14ac:dyDescent="0.4">
      <c r="K257" s="36" t="s">
        <v>1</v>
      </c>
      <c r="L257" s="37"/>
      <c r="M257" s="38"/>
      <c r="N257" s="42" t="str">
        <f>E7</f>
        <v>KABITA GOGOI(ESIC/S.H.R.C.)</v>
      </c>
      <c r="O257" s="43"/>
      <c r="P257" s="43"/>
      <c r="Q257" s="43"/>
      <c r="R257" s="12"/>
    </row>
    <row r="258" spans="2:18" ht="15" thickBot="1" x14ac:dyDescent="0.4">
      <c r="B258" s="54" t="s">
        <v>1</v>
      </c>
      <c r="C258" s="54"/>
      <c r="D258" s="54"/>
      <c r="E258" s="42" t="str">
        <f>E7</f>
        <v>KABITA GOGOI(ESIC/S.H.R.C.)</v>
      </c>
      <c r="F258" s="43"/>
      <c r="G258" s="43"/>
      <c r="H258" s="43"/>
      <c r="K258" s="39"/>
      <c r="L258" s="40"/>
      <c r="M258" s="41"/>
      <c r="N258" s="43"/>
      <c r="O258" s="43"/>
      <c r="P258" s="43"/>
      <c r="Q258" s="43"/>
      <c r="R258" s="12"/>
    </row>
    <row r="259" spans="2:18" ht="15" thickBot="1" x14ac:dyDescent="0.4">
      <c r="B259" s="54"/>
      <c r="C259" s="54"/>
      <c r="D259" s="54"/>
      <c r="E259" s="43"/>
      <c r="F259" s="43"/>
      <c r="G259" s="43"/>
      <c r="H259" s="43"/>
    </row>
    <row r="260" spans="2:18" ht="15" thickBot="1" x14ac:dyDescent="0.4">
      <c r="B260" s="48"/>
      <c r="C260" s="48"/>
      <c r="D260" s="48"/>
      <c r="E260" s="48"/>
      <c r="F260" s="48"/>
      <c r="G260" s="48"/>
      <c r="H260" s="48"/>
      <c r="J260" s="10" t="s">
        <v>57</v>
      </c>
      <c r="K260" s="10" t="s">
        <v>58</v>
      </c>
      <c r="L260" s="2" t="s">
        <v>4</v>
      </c>
      <c r="M260" s="2" t="s">
        <v>5</v>
      </c>
      <c r="N260" s="3" t="s">
        <v>6</v>
      </c>
      <c r="O260" s="2" t="s">
        <v>7</v>
      </c>
      <c r="P260" s="2" t="s">
        <v>8</v>
      </c>
      <c r="Q260" s="2" t="s">
        <v>60</v>
      </c>
      <c r="R260" s="2" t="s">
        <v>61</v>
      </c>
    </row>
    <row r="261" spans="2:18" ht="15" thickBot="1" x14ac:dyDescent="0.4">
      <c r="J261" s="4"/>
      <c r="K261" s="13"/>
      <c r="L261" s="14"/>
      <c r="M261" s="15"/>
      <c r="N261" s="15"/>
      <c r="O261" s="16"/>
      <c r="P261" s="14"/>
      <c r="Q261" s="14"/>
      <c r="R261" s="15"/>
    </row>
    <row r="262" spans="2:18" ht="15" thickBot="1" x14ac:dyDescent="0.4">
      <c r="B262" s="1" t="s">
        <v>508</v>
      </c>
      <c r="G262" s="1" t="s">
        <v>3</v>
      </c>
      <c r="H262" s="13" t="s">
        <v>514</v>
      </c>
      <c r="J262" s="4"/>
      <c r="K262" s="10"/>
      <c r="L262" s="14"/>
      <c r="M262" s="15"/>
      <c r="N262" s="15"/>
      <c r="O262" s="16"/>
      <c r="P262" s="14"/>
      <c r="Q262" s="14"/>
      <c r="R262" s="15"/>
    </row>
    <row r="263" spans="2:18" ht="15" thickBot="1" x14ac:dyDescent="0.4">
      <c r="J263" s="4"/>
      <c r="K263" s="4"/>
      <c r="L263" s="14"/>
      <c r="M263" s="15"/>
      <c r="N263" s="15"/>
      <c r="O263" s="16"/>
      <c r="P263" s="14"/>
      <c r="Q263" s="14"/>
      <c r="R263" s="15"/>
    </row>
    <row r="264" spans="2:18" ht="15" thickBot="1" x14ac:dyDescent="0.4">
      <c r="B264" s="2" t="s">
        <v>4</v>
      </c>
      <c r="C264" s="2" t="s">
        <v>5</v>
      </c>
      <c r="D264" s="3" t="s">
        <v>6</v>
      </c>
      <c r="E264" s="2" t="s">
        <v>7</v>
      </c>
      <c r="F264" s="2" t="s">
        <v>8</v>
      </c>
      <c r="G264" s="2" t="s">
        <v>9</v>
      </c>
      <c r="H264" s="2" t="s">
        <v>10</v>
      </c>
      <c r="J264" s="4"/>
      <c r="K264" s="4"/>
      <c r="L264" s="14"/>
      <c r="M264" s="15"/>
      <c r="N264" s="15"/>
      <c r="O264" s="16"/>
      <c r="P264" s="14"/>
      <c r="Q264" s="14"/>
      <c r="R264" s="15"/>
    </row>
    <row r="265" spans="2:18" ht="15" thickBot="1" x14ac:dyDescent="0.4">
      <c r="B265" s="14" t="s">
        <v>485</v>
      </c>
      <c r="C265" s="15" t="s">
        <v>293</v>
      </c>
      <c r="D265" s="15" t="s">
        <v>294</v>
      </c>
      <c r="E265" s="24">
        <v>45383</v>
      </c>
      <c r="F265" s="15">
        <v>137.30000000000001</v>
      </c>
      <c r="G265" s="4">
        <v>1</v>
      </c>
      <c r="H265" s="4">
        <f>F265*G265</f>
        <v>137.30000000000001</v>
      </c>
      <c r="J265" s="4"/>
      <c r="K265" s="4"/>
      <c r="L265" s="14"/>
      <c r="M265" s="15"/>
      <c r="N265" s="15"/>
      <c r="O265" s="16"/>
      <c r="P265" s="14"/>
      <c r="Q265" s="14"/>
      <c r="R265" s="15"/>
    </row>
    <row r="266" spans="2:18" ht="15" thickBot="1" x14ac:dyDescent="0.4">
      <c r="B266" s="4" t="s">
        <v>486</v>
      </c>
      <c r="C266" s="5">
        <v>1651</v>
      </c>
      <c r="D266" s="5" t="s">
        <v>92</v>
      </c>
      <c r="E266" s="23">
        <v>45047</v>
      </c>
      <c r="F266" s="4">
        <v>24.64</v>
      </c>
      <c r="G266" s="4">
        <v>3</v>
      </c>
      <c r="H266" s="4">
        <f t="shared" ref="H266:H289" si="16">F266*G266</f>
        <v>73.92</v>
      </c>
      <c r="J266" s="4"/>
      <c r="K266" s="4"/>
      <c r="L266" s="14"/>
      <c r="M266" s="15"/>
      <c r="N266" s="15"/>
      <c r="O266" s="16"/>
      <c r="P266" s="14"/>
      <c r="Q266" s="14"/>
      <c r="R266" s="15"/>
    </row>
    <row r="267" spans="2:18" ht="15" thickBot="1" x14ac:dyDescent="0.4">
      <c r="B267" s="14" t="s">
        <v>487</v>
      </c>
      <c r="C267" s="15">
        <v>22004</v>
      </c>
      <c r="D267" s="15" t="s">
        <v>294</v>
      </c>
      <c r="E267" s="24">
        <v>45413</v>
      </c>
      <c r="F267" s="15">
        <v>968.9</v>
      </c>
      <c r="G267" s="4">
        <v>3</v>
      </c>
      <c r="H267" s="4">
        <f t="shared" si="16"/>
        <v>2906.7</v>
      </c>
      <c r="J267" s="4"/>
      <c r="K267" s="4"/>
      <c r="L267" s="14"/>
      <c r="M267" s="15"/>
      <c r="N267" s="15"/>
      <c r="O267" s="16"/>
      <c r="P267" s="14"/>
      <c r="Q267" s="14"/>
      <c r="R267" s="15"/>
    </row>
    <row r="268" spans="2:18" ht="15" thickBot="1" x14ac:dyDescent="0.4">
      <c r="B268" s="4" t="s">
        <v>205</v>
      </c>
      <c r="C268" s="5">
        <v>160</v>
      </c>
      <c r="D268" s="5" t="s">
        <v>92</v>
      </c>
      <c r="E268" s="23">
        <v>45009</v>
      </c>
      <c r="F268" s="4">
        <v>137.30000000000001</v>
      </c>
      <c r="G268" s="4">
        <v>2</v>
      </c>
      <c r="H268" s="4">
        <f t="shared" si="16"/>
        <v>274.60000000000002</v>
      </c>
      <c r="J268" s="4"/>
      <c r="K268" s="4"/>
      <c r="L268" s="14"/>
      <c r="M268" s="15"/>
      <c r="N268" s="15"/>
      <c r="O268" s="16"/>
      <c r="P268" s="14"/>
      <c r="Q268" s="14"/>
      <c r="R268" s="15"/>
    </row>
    <row r="269" spans="2:18" ht="15" thickBot="1" x14ac:dyDescent="0.4">
      <c r="B269" s="4" t="s">
        <v>497</v>
      </c>
      <c r="C269" s="5" t="s">
        <v>498</v>
      </c>
      <c r="D269" s="5" t="s">
        <v>37</v>
      </c>
      <c r="E269" s="23">
        <v>45505</v>
      </c>
      <c r="F269" s="4">
        <v>133</v>
      </c>
      <c r="G269" s="5" t="s">
        <v>496</v>
      </c>
      <c r="H269" s="4">
        <v>133</v>
      </c>
      <c r="J269" s="4"/>
      <c r="K269" s="4"/>
      <c r="L269" s="14"/>
      <c r="M269" s="15"/>
      <c r="N269" s="15"/>
      <c r="O269" s="16"/>
      <c r="P269" s="14"/>
      <c r="Q269" s="14"/>
      <c r="R269" s="15"/>
    </row>
    <row r="270" spans="2:18" ht="15" thickBot="1" x14ac:dyDescent="0.4">
      <c r="B270" s="14" t="s">
        <v>355</v>
      </c>
      <c r="C270" s="15" t="s">
        <v>356</v>
      </c>
      <c r="D270" s="15" t="s">
        <v>149</v>
      </c>
      <c r="E270" s="24">
        <v>45627</v>
      </c>
      <c r="F270" s="15">
        <v>37.92</v>
      </c>
      <c r="G270" s="4">
        <v>3</v>
      </c>
      <c r="H270" s="4">
        <f>F270*G270</f>
        <v>113.76</v>
      </c>
      <c r="J270" s="4"/>
      <c r="K270" s="4"/>
      <c r="L270" s="14"/>
      <c r="M270" s="15"/>
      <c r="N270" s="15"/>
      <c r="O270" s="16"/>
      <c r="P270" s="14"/>
      <c r="Q270" s="14"/>
      <c r="R270" s="15"/>
    </row>
    <row r="271" spans="2:18" ht="15" thickBot="1" x14ac:dyDescent="0.4">
      <c r="B271" s="14" t="s">
        <v>491</v>
      </c>
      <c r="C271" s="15">
        <v>22062</v>
      </c>
      <c r="D271" s="15" t="s">
        <v>492</v>
      </c>
      <c r="E271" s="24">
        <v>45323</v>
      </c>
      <c r="F271" s="15">
        <v>25.53</v>
      </c>
      <c r="G271" s="5" t="s">
        <v>496</v>
      </c>
      <c r="H271" s="4">
        <v>25.53</v>
      </c>
      <c r="J271" s="4"/>
      <c r="K271" s="4"/>
      <c r="L271" s="14"/>
      <c r="M271" s="15"/>
      <c r="N271" s="15"/>
      <c r="O271" s="16"/>
      <c r="P271" s="14"/>
      <c r="Q271" s="14"/>
      <c r="R271" s="15"/>
    </row>
    <row r="272" spans="2:18" ht="15" thickBot="1" x14ac:dyDescent="0.4">
      <c r="B272" s="4"/>
      <c r="C272" s="5"/>
      <c r="D272" s="5"/>
      <c r="E272" s="6"/>
      <c r="F272" s="4"/>
      <c r="G272" s="4"/>
      <c r="H272" s="4">
        <f t="shared" si="16"/>
        <v>0</v>
      </c>
      <c r="J272" s="4"/>
      <c r="K272" s="4"/>
      <c r="L272" s="17"/>
      <c r="M272" s="20"/>
      <c r="N272" s="20"/>
      <c r="O272" s="20"/>
      <c r="P272" s="20"/>
      <c r="Q272" s="20"/>
      <c r="R272" s="17"/>
    </row>
    <row r="273" spans="2:18" ht="15" thickBot="1" x14ac:dyDescent="0.4">
      <c r="B273" s="4"/>
      <c r="C273" s="5"/>
      <c r="D273" s="5"/>
      <c r="E273" s="6"/>
      <c r="F273" s="4"/>
      <c r="G273" s="4"/>
      <c r="H273" s="4">
        <f t="shared" si="16"/>
        <v>0</v>
      </c>
      <c r="J273" s="4"/>
      <c r="K273" s="4"/>
      <c r="L273" s="4"/>
      <c r="M273" s="5"/>
      <c r="N273" s="5"/>
      <c r="O273" s="6"/>
      <c r="P273" s="4"/>
      <c r="Q273" s="4"/>
      <c r="R273" s="4"/>
    </row>
    <row r="274" spans="2:18" ht="15" thickBot="1" x14ac:dyDescent="0.4">
      <c r="B274" s="4"/>
      <c r="C274" s="5"/>
      <c r="D274" s="5"/>
      <c r="E274" s="6"/>
      <c r="F274" s="4"/>
      <c r="G274" s="4"/>
      <c r="H274" s="4">
        <f t="shared" si="16"/>
        <v>0</v>
      </c>
      <c r="J274" s="4"/>
      <c r="K274" s="4"/>
      <c r="L274" s="4"/>
      <c r="M274" s="5"/>
      <c r="N274" s="5"/>
      <c r="O274" s="6"/>
      <c r="P274" s="4"/>
      <c r="Q274" s="4"/>
      <c r="R274" s="4"/>
    </row>
    <row r="275" spans="2:18" ht="15" thickBot="1" x14ac:dyDescent="0.4">
      <c r="B275" s="4"/>
      <c r="C275" s="5"/>
      <c r="D275" s="5"/>
      <c r="E275" s="6"/>
      <c r="F275" s="4"/>
      <c r="G275" s="4"/>
      <c r="H275" s="4">
        <f t="shared" si="16"/>
        <v>0</v>
      </c>
      <c r="J275" s="4"/>
      <c r="K275" s="4"/>
      <c r="L275" s="4"/>
      <c r="M275" s="5"/>
      <c r="N275" s="5"/>
      <c r="O275" s="6"/>
      <c r="P275" s="4"/>
      <c r="Q275" s="4"/>
      <c r="R275" s="4"/>
    </row>
    <row r="276" spans="2:18" ht="15" thickBot="1" x14ac:dyDescent="0.4">
      <c r="B276" s="4"/>
      <c r="C276" s="5"/>
      <c r="D276" s="5"/>
      <c r="E276" s="6"/>
      <c r="F276" s="4"/>
      <c r="G276" s="4"/>
      <c r="H276" s="4">
        <f t="shared" si="16"/>
        <v>0</v>
      </c>
      <c r="J276" s="4"/>
      <c r="K276" s="4"/>
      <c r="L276" s="4"/>
      <c r="M276" s="5"/>
      <c r="N276" s="5"/>
      <c r="O276" s="6"/>
      <c r="P276" s="4"/>
      <c r="Q276" s="4"/>
      <c r="R276" s="4"/>
    </row>
    <row r="277" spans="2:18" ht="15" thickBot="1" x14ac:dyDescent="0.4">
      <c r="B277" s="4"/>
      <c r="C277" s="5"/>
      <c r="D277" s="5"/>
      <c r="E277" s="6"/>
      <c r="F277" s="4"/>
      <c r="G277" s="4"/>
      <c r="H277" s="4">
        <f t="shared" si="16"/>
        <v>0</v>
      </c>
      <c r="J277" s="4"/>
      <c r="K277" s="4"/>
      <c r="L277" s="4"/>
      <c r="M277" s="5"/>
      <c r="N277" s="5"/>
      <c r="O277" s="6"/>
      <c r="P277" s="4"/>
      <c r="Q277" s="4"/>
      <c r="R277" s="4"/>
    </row>
    <row r="278" spans="2:18" ht="15" thickBot="1" x14ac:dyDescent="0.4">
      <c r="B278" s="4"/>
      <c r="C278" s="5"/>
      <c r="D278" s="5"/>
      <c r="E278" s="6"/>
      <c r="F278" s="4"/>
      <c r="G278" s="4"/>
      <c r="H278" s="4">
        <f t="shared" si="16"/>
        <v>0</v>
      </c>
      <c r="J278" s="4"/>
      <c r="K278" s="4"/>
      <c r="L278" s="4"/>
      <c r="M278" s="5"/>
      <c r="N278" s="5"/>
      <c r="O278" s="6"/>
      <c r="P278" s="4"/>
      <c r="Q278" s="4"/>
      <c r="R278" s="4"/>
    </row>
    <row r="279" spans="2:18" ht="15" thickBot="1" x14ac:dyDescent="0.4">
      <c r="B279" s="4"/>
      <c r="C279" s="5"/>
      <c r="D279" s="5"/>
      <c r="E279" s="6"/>
      <c r="F279" s="4"/>
      <c r="G279" s="4"/>
      <c r="H279" s="4">
        <f t="shared" si="16"/>
        <v>0</v>
      </c>
      <c r="J279" s="4"/>
      <c r="K279" s="4"/>
      <c r="L279" s="4"/>
      <c r="M279" s="5"/>
      <c r="N279" s="5"/>
      <c r="O279" s="6"/>
      <c r="P279" s="4"/>
      <c r="Q279" s="4"/>
      <c r="R279" s="4"/>
    </row>
    <row r="280" spans="2:18" ht="15" thickBot="1" x14ac:dyDescent="0.4">
      <c r="B280" s="4"/>
      <c r="C280" s="5"/>
      <c r="D280" s="5"/>
      <c r="E280" s="6"/>
      <c r="F280" s="4"/>
      <c r="G280" s="4"/>
      <c r="H280" s="4">
        <f t="shared" si="16"/>
        <v>0</v>
      </c>
      <c r="J280" s="4"/>
      <c r="K280" s="4"/>
      <c r="L280" s="4"/>
      <c r="M280" s="5"/>
      <c r="N280" s="5"/>
      <c r="O280" s="6"/>
      <c r="P280" s="4"/>
      <c r="Q280" s="4"/>
      <c r="R280" s="4"/>
    </row>
    <row r="281" spans="2:18" ht="15" thickBot="1" x14ac:dyDescent="0.4">
      <c r="B281" s="4"/>
      <c r="C281" s="5"/>
      <c r="D281" s="5"/>
      <c r="E281" s="6"/>
      <c r="F281" s="4"/>
      <c r="G281" s="4"/>
      <c r="H281" s="4">
        <f t="shared" si="16"/>
        <v>0</v>
      </c>
      <c r="J281" s="4"/>
      <c r="K281" s="4"/>
      <c r="L281" s="7"/>
      <c r="M281" s="8"/>
      <c r="N281" s="8"/>
      <c r="O281" s="8"/>
      <c r="P281" s="8"/>
      <c r="Q281" s="3"/>
      <c r="R281" s="9"/>
    </row>
    <row r="282" spans="2:18" ht="15" thickBot="1" x14ac:dyDescent="0.4">
      <c r="B282" s="4"/>
      <c r="C282" s="5"/>
      <c r="D282" s="5"/>
      <c r="E282" s="6"/>
      <c r="F282" s="4"/>
      <c r="G282" s="4"/>
      <c r="H282" s="4">
        <f t="shared" si="16"/>
        <v>0</v>
      </c>
      <c r="J282" s="4"/>
      <c r="K282" s="4"/>
      <c r="L282" s="7"/>
      <c r="M282" s="8"/>
      <c r="N282" s="8"/>
      <c r="O282" s="8"/>
      <c r="P282" s="8"/>
      <c r="Q282" s="8"/>
      <c r="R282" s="4"/>
    </row>
    <row r="283" spans="2:18" ht="15" thickBot="1" x14ac:dyDescent="0.4">
      <c r="B283" s="4"/>
      <c r="C283" s="5"/>
      <c r="D283" s="5"/>
      <c r="E283" s="6"/>
      <c r="F283" s="4"/>
      <c r="G283" s="4"/>
      <c r="H283" s="4">
        <f t="shared" si="16"/>
        <v>0</v>
      </c>
      <c r="J283" s="4"/>
      <c r="K283" s="4"/>
      <c r="L283" s="7"/>
      <c r="M283" s="8"/>
      <c r="N283" s="8"/>
      <c r="O283" s="8"/>
      <c r="P283" s="8"/>
      <c r="Q283" s="8"/>
      <c r="R283" s="4"/>
    </row>
    <row r="284" spans="2:18" ht="15" thickBot="1" x14ac:dyDescent="0.4">
      <c r="B284" s="4"/>
      <c r="C284" s="5"/>
      <c r="D284" s="5"/>
      <c r="E284" s="6"/>
      <c r="F284" s="4"/>
      <c r="G284" s="4"/>
      <c r="H284" s="4">
        <f t="shared" si="16"/>
        <v>0</v>
      </c>
      <c r="J284" s="4"/>
      <c r="K284" s="4"/>
      <c r="L284" s="7"/>
      <c r="M284" s="8"/>
      <c r="N284" s="8"/>
      <c r="O284" s="8"/>
      <c r="P284" s="8"/>
      <c r="Q284" s="8"/>
      <c r="R284" s="4"/>
    </row>
    <row r="285" spans="2:18" ht="15" thickBot="1" x14ac:dyDescent="0.4">
      <c r="B285" s="7"/>
      <c r="C285" s="8"/>
      <c r="D285" s="8"/>
      <c r="E285" s="8"/>
      <c r="F285" s="8"/>
      <c r="G285" s="8"/>
      <c r="H285" s="4">
        <f t="shared" si="16"/>
        <v>0</v>
      </c>
      <c r="J285" s="4"/>
      <c r="K285" s="4"/>
      <c r="L285" s="7"/>
      <c r="M285" s="8"/>
      <c r="N285" s="8"/>
      <c r="O285" s="8"/>
      <c r="P285" s="8"/>
      <c r="Q285" s="8"/>
      <c r="R285" s="4"/>
    </row>
    <row r="286" spans="2:18" ht="15" thickBot="1" x14ac:dyDescent="0.4">
      <c r="B286" s="7"/>
      <c r="C286" s="8"/>
      <c r="D286" s="8"/>
      <c r="E286" s="8"/>
      <c r="F286" s="8"/>
      <c r="G286" s="8"/>
      <c r="H286" s="4">
        <f t="shared" si="16"/>
        <v>0</v>
      </c>
      <c r="J286" s="4"/>
      <c r="K286" s="4"/>
      <c r="L286" s="18"/>
      <c r="M286" s="18"/>
      <c r="N286" s="18"/>
      <c r="O286" s="18"/>
      <c r="P286" s="18"/>
      <c r="Q286" s="18"/>
      <c r="R286" s="18"/>
    </row>
    <row r="287" spans="2:18" ht="15" thickBot="1" x14ac:dyDescent="0.4">
      <c r="B287" s="7"/>
      <c r="C287" s="8"/>
      <c r="D287" s="8"/>
      <c r="E287" s="8"/>
      <c r="F287" s="8"/>
      <c r="G287" s="8"/>
      <c r="H287" s="4">
        <f t="shared" si="16"/>
        <v>0</v>
      </c>
      <c r="J287" s="4"/>
      <c r="K287" s="4"/>
      <c r="L287" s="18"/>
      <c r="M287" s="18"/>
      <c r="N287" s="18"/>
      <c r="O287" s="18"/>
      <c r="P287" s="18"/>
      <c r="Q287" s="18"/>
      <c r="R287" s="18"/>
    </row>
    <row r="288" spans="2:18" ht="15" thickBot="1" x14ac:dyDescent="0.4">
      <c r="B288" s="7"/>
      <c r="C288" s="8"/>
      <c r="D288" s="8"/>
      <c r="E288" s="8"/>
      <c r="F288" s="8"/>
      <c r="G288" s="8"/>
      <c r="H288" s="4">
        <f t="shared" si="16"/>
        <v>0</v>
      </c>
      <c r="J288" s="4"/>
      <c r="K288" s="4"/>
      <c r="L288" s="18"/>
      <c r="M288" s="18"/>
      <c r="N288" s="18"/>
      <c r="O288" s="18"/>
      <c r="P288" s="18"/>
      <c r="Q288" s="18"/>
      <c r="R288" s="18"/>
    </row>
    <row r="289" spans="2:18" ht="15" thickBot="1" x14ac:dyDescent="0.4">
      <c r="B289" s="7"/>
      <c r="C289" s="8"/>
      <c r="D289" s="8"/>
      <c r="E289" s="8"/>
      <c r="F289" s="8"/>
      <c r="G289" s="8"/>
      <c r="H289" s="4">
        <f t="shared" si="16"/>
        <v>0</v>
      </c>
      <c r="J289" s="4"/>
      <c r="K289" s="4"/>
      <c r="L289" s="18"/>
      <c r="M289" s="18"/>
      <c r="N289" s="18"/>
      <c r="O289" s="18"/>
      <c r="P289" s="18"/>
      <c r="Q289" s="18"/>
      <c r="R289" s="18"/>
    </row>
    <row r="290" spans="2:18" ht="15" thickBot="1" x14ac:dyDescent="0.4">
      <c r="B290" s="55" t="s">
        <v>50</v>
      </c>
      <c r="C290" s="56"/>
      <c r="D290" s="56"/>
      <c r="E290" s="56"/>
      <c r="F290" s="56"/>
      <c r="G290" s="56"/>
      <c r="H290" s="9">
        <f>SUM(H265:H289)</f>
        <v>3664.8100000000004</v>
      </c>
      <c r="J290" s="4"/>
      <c r="K290" s="4"/>
      <c r="L290" s="18"/>
      <c r="M290" s="18"/>
      <c r="N290" s="18"/>
      <c r="O290" s="18"/>
      <c r="P290" s="18"/>
      <c r="Q290" s="18"/>
      <c r="R290" s="18"/>
    </row>
    <row r="291" spans="2:18" ht="15" thickBot="1" x14ac:dyDescent="0.4">
      <c r="B291" s="9" t="s">
        <v>51</v>
      </c>
      <c r="C291" s="53" t="str">
        <f>ConvertCurrencyToEnglish(H290)</f>
        <v>Rupees Three Thousand Six Hundred Sixty Four and Eighty One Paise Only</v>
      </c>
      <c r="D291" s="53"/>
      <c r="E291" s="53"/>
      <c r="F291" s="53"/>
      <c r="G291" s="53"/>
      <c r="H291" s="53"/>
      <c r="J291" s="4"/>
      <c r="K291" s="4"/>
      <c r="L291" s="4"/>
      <c r="M291" s="4"/>
      <c r="N291" s="4"/>
      <c r="O291" s="4"/>
      <c r="P291" s="4"/>
      <c r="Q291" s="4"/>
      <c r="R291" s="4"/>
    </row>
    <row r="292" spans="2:18" ht="15" thickBot="1" x14ac:dyDescent="0.4">
      <c r="B292" s="57" t="s">
        <v>52</v>
      </c>
      <c r="C292" s="57"/>
      <c r="D292" s="57"/>
      <c r="E292" s="57"/>
      <c r="F292" s="57"/>
      <c r="G292" s="57"/>
      <c r="H292" s="10">
        <f>H290/1.12</f>
        <v>3272.1517857142858</v>
      </c>
      <c r="J292" s="4"/>
      <c r="K292" s="4"/>
      <c r="L292" s="4"/>
      <c r="M292" s="4"/>
      <c r="N292" s="4"/>
      <c r="O292" s="4"/>
      <c r="P292" s="4"/>
      <c r="Q292" s="4"/>
      <c r="R292" s="4"/>
    </row>
    <row r="293" spans="2:18" ht="15" thickBot="1" x14ac:dyDescent="0.4">
      <c r="B293" s="57" t="s">
        <v>53</v>
      </c>
      <c r="C293" s="57"/>
      <c r="D293" s="57"/>
      <c r="E293" s="57"/>
      <c r="F293" s="57"/>
      <c r="G293" s="57"/>
      <c r="H293" s="10">
        <f>(H290-H292)/2</f>
        <v>196.32910714285731</v>
      </c>
      <c r="J293" s="4"/>
      <c r="K293" s="4"/>
      <c r="L293" s="4"/>
      <c r="M293" s="4"/>
      <c r="N293" s="4"/>
      <c r="O293" s="4"/>
      <c r="P293" s="4"/>
      <c r="Q293" s="4"/>
      <c r="R293" s="4"/>
    </row>
    <row r="294" spans="2:18" ht="15" thickBot="1" x14ac:dyDescent="0.4">
      <c r="B294" s="57" t="s">
        <v>54</v>
      </c>
      <c r="C294" s="57"/>
      <c r="D294" s="57"/>
      <c r="E294" s="57"/>
      <c r="F294" s="57"/>
      <c r="G294" s="57"/>
      <c r="H294" s="10">
        <f>(H290-H292)/2</f>
        <v>196.32910714285731</v>
      </c>
      <c r="J294" s="4"/>
      <c r="K294" s="4"/>
      <c r="L294" s="19"/>
      <c r="M294" s="10"/>
      <c r="N294" s="10"/>
      <c r="O294" s="10"/>
      <c r="P294" s="4"/>
      <c r="Q294" s="4"/>
      <c r="R294" s="18"/>
    </row>
    <row r="295" spans="2:18" ht="15" thickBot="1" x14ac:dyDescent="0.4">
      <c r="J295" s="4"/>
      <c r="K295" s="4"/>
      <c r="L295" s="10"/>
      <c r="M295" s="10"/>
      <c r="N295" s="10"/>
      <c r="O295" s="10"/>
      <c r="P295" s="4"/>
      <c r="Q295" s="4"/>
      <c r="R295" s="18"/>
    </row>
    <row r="296" spans="2:18" ht="15" thickBot="1" x14ac:dyDescent="0.4">
      <c r="J296" s="4"/>
      <c r="K296" s="4"/>
      <c r="L296" s="4"/>
      <c r="M296" s="4"/>
      <c r="N296" s="4"/>
      <c r="O296" s="4"/>
      <c r="P296" s="4"/>
      <c r="Q296" s="4"/>
      <c r="R296" s="4"/>
    </row>
    <row r="297" spans="2:18" ht="15" thickBot="1" x14ac:dyDescent="0.4">
      <c r="J297" s="4"/>
      <c r="K297" s="4"/>
      <c r="L297" s="4"/>
      <c r="M297" s="4"/>
      <c r="N297" s="4"/>
      <c r="O297" s="4"/>
      <c r="P297" s="4"/>
      <c r="Q297" s="4"/>
      <c r="R297" s="4"/>
    </row>
    <row r="298" spans="2:18" ht="15" thickBot="1" x14ac:dyDescent="0.4">
      <c r="B298" s="58" t="s">
        <v>55</v>
      </c>
      <c r="C298" s="59"/>
      <c r="D298" s="59"/>
      <c r="E298" s="59"/>
      <c r="H298" s="60" t="s">
        <v>56</v>
      </c>
      <c r="J298" s="4"/>
      <c r="K298" s="4"/>
      <c r="L298" s="4"/>
      <c r="M298" s="4"/>
      <c r="N298" s="4"/>
      <c r="O298" s="4"/>
      <c r="P298" s="4"/>
      <c r="Q298" s="4"/>
      <c r="R298" s="4"/>
    </row>
    <row r="299" spans="2:18" x14ac:dyDescent="0.35">
      <c r="B299" s="59"/>
      <c r="C299" s="59"/>
      <c r="D299" s="59"/>
      <c r="E299" s="59"/>
      <c r="H299" s="60"/>
    </row>
    <row r="302" spans="2:18" ht="15" thickBot="1" x14ac:dyDescent="0.4"/>
    <row r="303" spans="2:18" ht="15.5" x14ac:dyDescent="0.35">
      <c r="B303" s="44" t="s">
        <v>62</v>
      </c>
      <c r="C303" s="45"/>
      <c r="D303" s="45"/>
      <c r="E303" s="45"/>
      <c r="F303" s="45"/>
      <c r="G303" s="45"/>
      <c r="H303" s="46"/>
      <c r="J303" s="11"/>
      <c r="K303" s="27" t="s">
        <v>59</v>
      </c>
      <c r="L303" s="28"/>
      <c r="M303" s="28"/>
      <c r="N303" s="28"/>
      <c r="O303" s="28"/>
      <c r="P303" s="28"/>
      <c r="Q303" s="29"/>
      <c r="R303" s="11"/>
    </row>
    <row r="304" spans="2:18" ht="15.5" x14ac:dyDescent="0.35">
      <c r="B304" s="47"/>
      <c r="C304" s="48"/>
      <c r="D304" s="48"/>
      <c r="E304" s="48"/>
      <c r="F304" s="48"/>
      <c r="G304" s="48"/>
      <c r="H304" s="49"/>
      <c r="J304" s="11"/>
      <c r="K304" s="30"/>
      <c r="L304" s="31"/>
      <c r="M304" s="31"/>
      <c r="N304" s="31"/>
      <c r="O304" s="31"/>
      <c r="P304" s="31"/>
      <c r="Q304" s="32"/>
      <c r="R304" s="11"/>
    </row>
    <row r="305" spans="2:18" ht="16" thickBot="1" x14ac:dyDescent="0.4">
      <c r="B305" s="47"/>
      <c r="C305" s="48"/>
      <c r="D305" s="48"/>
      <c r="E305" s="48"/>
      <c r="F305" s="48"/>
      <c r="G305" s="48"/>
      <c r="H305" s="49"/>
      <c r="J305" s="11"/>
      <c r="K305" s="33"/>
      <c r="L305" s="34"/>
      <c r="M305" s="34"/>
      <c r="N305" s="34"/>
      <c r="O305" s="34"/>
      <c r="P305" s="34"/>
      <c r="Q305" s="35"/>
      <c r="R305" s="11"/>
    </row>
    <row r="306" spans="2:18" ht="15" thickBot="1" x14ac:dyDescent="0.4">
      <c r="B306" s="50"/>
      <c r="C306" s="51"/>
      <c r="D306" s="51"/>
      <c r="E306" s="51"/>
      <c r="F306" s="51"/>
      <c r="G306" s="51"/>
      <c r="H306" s="52"/>
    </row>
    <row r="307" spans="2:18" ht="15" thickBot="1" x14ac:dyDescent="0.4">
      <c r="K307" s="36" t="s">
        <v>1</v>
      </c>
      <c r="L307" s="37"/>
      <c r="M307" s="38"/>
      <c r="N307" s="42" t="str">
        <f>E7</f>
        <v>KABITA GOGOI(ESIC/S.H.R.C.)</v>
      </c>
      <c r="O307" s="43"/>
      <c r="P307" s="43"/>
      <c r="Q307" s="43"/>
      <c r="R307" s="12"/>
    </row>
    <row r="308" spans="2:18" ht="15" thickBot="1" x14ac:dyDescent="0.4">
      <c r="B308" s="54" t="s">
        <v>1</v>
      </c>
      <c r="C308" s="54"/>
      <c r="D308" s="54"/>
      <c r="E308" s="42" t="str">
        <f>E7</f>
        <v>KABITA GOGOI(ESIC/S.H.R.C.)</v>
      </c>
      <c r="F308" s="43"/>
      <c r="G308" s="43"/>
      <c r="H308" s="43"/>
      <c r="K308" s="39"/>
      <c r="L308" s="40"/>
      <c r="M308" s="41"/>
      <c r="N308" s="43"/>
      <c r="O308" s="43"/>
      <c r="P308" s="43"/>
      <c r="Q308" s="43"/>
      <c r="R308" s="12"/>
    </row>
    <row r="309" spans="2:18" ht="15" thickBot="1" x14ac:dyDescent="0.4">
      <c r="B309" s="54"/>
      <c r="C309" s="54"/>
      <c r="D309" s="54"/>
      <c r="E309" s="43"/>
      <c r="F309" s="43"/>
      <c r="G309" s="43"/>
      <c r="H309" s="43"/>
    </row>
    <row r="310" spans="2:18" ht="15" thickBot="1" x14ac:dyDescent="0.4">
      <c r="B310" s="48"/>
      <c r="C310" s="48"/>
      <c r="D310" s="48"/>
      <c r="E310" s="48"/>
      <c r="F310" s="48"/>
      <c r="G310" s="48"/>
      <c r="H310" s="48"/>
      <c r="J310" s="10" t="s">
        <v>57</v>
      </c>
      <c r="K310" s="10" t="s">
        <v>58</v>
      </c>
      <c r="L310" s="2" t="s">
        <v>4</v>
      </c>
      <c r="M310" s="2" t="s">
        <v>5</v>
      </c>
      <c r="N310" s="3" t="s">
        <v>6</v>
      </c>
      <c r="O310" s="2" t="s">
        <v>7</v>
      </c>
      <c r="P310" s="2" t="s">
        <v>8</v>
      </c>
      <c r="Q310" s="2" t="s">
        <v>60</v>
      </c>
      <c r="R310" s="2" t="s">
        <v>61</v>
      </c>
    </row>
    <row r="311" spans="2:18" ht="15" thickBot="1" x14ac:dyDescent="0.4">
      <c r="J311" s="4"/>
      <c r="K311" s="13"/>
      <c r="L311" s="14"/>
      <c r="M311" s="15"/>
      <c r="N311" s="15"/>
      <c r="O311" s="16"/>
      <c r="P311" s="14"/>
      <c r="Q311" s="14"/>
      <c r="R311" s="15"/>
    </row>
    <row r="312" spans="2:18" ht="15" thickBot="1" x14ac:dyDescent="0.4">
      <c r="B312" s="1" t="s">
        <v>503</v>
      </c>
      <c r="G312" s="1" t="s">
        <v>3</v>
      </c>
      <c r="H312" s="13" t="s">
        <v>499</v>
      </c>
      <c r="J312" s="4"/>
      <c r="K312" s="10"/>
      <c r="L312" s="14"/>
      <c r="M312" s="15"/>
      <c r="N312" s="15"/>
      <c r="O312" s="16"/>
      <c r="P312" s="14"/>
      <c r="Q312" s="14"/>
      <c r="R312" s="15"/>
    </row>
    <row r="313" spans="2:18" ht="15" thickBot="1" x14ac:dyDescent="0.4">
      <c r="J313" s="4"/>
      <c r="K313" s="4"/>
      <c r="L313" s="14"/>
      <c r="M313" s="15"/>
      <c r="N313" s="15"/>
      <c r="O313" s="16"/>
      <c r="P313" s="14"/>
      <c r="Q313" s="14"/>
      <c r="R313" s="15"/>
    </row>
    <row r="314" spans="2:18" ht="15" thickBot="1" x14ac:dyDescent="0.4">
      <c r="B314" s="2" t="s">
        <v>4</v>
      </c>
      <c r="C314" s="2" t="s">
        <v>5</v>
      </c>
      <c r="D314" s="3" t="s">
        <v>6</v>
      </c>
      <c r="E314" s="2" t="s">
        <v>7</v>
      </c>
      <c r="F314" s="2" t="s">
        <v>8</v>
      </c>
      <c r="G314" s="2" t="s">
        <v>9</v>
      </c>
      <c r="H314" s="2" t="s">
        <v>10</v>
      </c>
      <c r="J314" s="4"/>
      <c r="K314" s="4"/>
      <c r="L314" s="14"/>
      <c r="M314" s="15"/>
      <c r="N314" s="15"/>
      <c r="O314" s="16"/>
      <c r="P314" s="14"/>
      <c r="Q314" s="14"/>
      <c r="R314" s="15"/>
    </row>
    <row r="315" spans="2:18" ht="15" thickBot="1" x14ac:dyDescent="0.4">
      <c r="B315" s="4" t="s">
        <v>241</v>
      </c>
      <c r="C315" s="5">
        <v>1093</v>
      </c>
      <c r="D315" s="5" t="s">
        <v>500</v>
      </c>
      <c r="E315" s="6">
        <v>45352</v>
      </c>
      <c r="F315" s="4">
        <v>671.65</v>
      </c>
      <c r="G315" s="4">
        <v>2</v>
      </c>
      <c r="H315" s="4">
        <f>F315*G315</f>
        <v>1343.3</v>
      </c>
      <c r="J315" s="4"/>
      <c r="K315" s="4"/>
      <c r="L315" s="14"/>
      <c r="M315" s="15"/>
      <c r="N315" s="15"/>
      <c r="O315" s="16"/>
      <c r="P315" s="14"/>
      <c r="Q315" s="14"/>
      <c r="R315" s="15"/>
    </row>
    <row r="316" spans="2:18" ht="15" thickBot="1" x14ac:dyDescent="0.4">
      <c r="B316" s="14" t="s">
        <v>485</v>
      </c>
      <c r="C316" s="15" t="s">
        <v>293</v>
      </c>
      <c r="D316" s="15" t="s">
        <v>294</v>
      </c>
      <c r="E316" s="24">
        <v>45383</v>
      </c>
      <c r="F316" s="15">
        <v>137.30000000000001</v>
      </c>
      <c r="G316" s="4">
        <v>1</v>
      </c>
      <c r="H316" s="4">
        <f t="shared" ref="H316:H339" si="17">F316*G316</f>
        <v>137.30000000000001</v>
      </c>
      <c r="J316" s="4"/>
      <c r="K316" s="4"/>
      <c r="L316" s="14"/>
      <c r="M316" s="15"/>
      <c r="N316" s="15"/>
      <c r="O316" s="16"/>
      <c r="P316" s="14"/>
      <c r="Q316" s="14"/>
      <c r="R316" s="15"/>
    </row>
    <row r="317" spans="2:18" ht="15" thickBot="1" x14ac:dyDescent="0.4">
      <c r="B317" s="4" t="s">
        <v>486</v>
      </c>
      <c r="C317" s="5">
        <v>1651</v>
      </c>
      <c r="D317" s="5" t="s">
        <v>92</v>
      </c>
      <c r="E317" s="23">
        <v>45047</v>
      </c>
      <c r="F317" s="4">
        <v>24.64</v>
      </c>
      <c r="G317" s="4">
        <v>3</v>
      </c>
      <c r="H317" s="4">
        <f t="shared" si="17"/>
        <v>73.92</v>
      </c>
      <c r="J317" s="4"/>
      <c r="K317" s="4"/>
      <c r="L317" s="14"/>
      <c r="M317" s="15"/>
      <c r="N317" s="15"/>
      <c r="O317" s="16"/>
      <c r="P317" s="14"/>
      <c r="Q317" s="14"/>
      <c r="R317" s="15"/>
    </row>
    <row r="318" spans="2:18" ht="15" thickBot="1" x14ac:dyDescent="0.4">
      <c r="B318" s="4" t="s">
        <v>205</v>
      </c>
      <c r="C318" s="5">
        <v>160</v>
      </c>
      <c r="D318" s="5" t="s">
        <v>92</v>
      </c>
      <c r="E318" s="23">
        <v>45009</v>
      </c>
      <c r="F318" s="4">
        <v>137.30000000000001</v>
      </c>
      <c r="G318" s="4">
        <v>2</v>
      </c>
      <c r="H318" s="4">
        <f t="shared" si="17"/>
        <v>274.60000000000002</v>
      </c>
      <c r="J318" s="4"/>
      <c r="K318" s="4"/>
      <c r="L318" s="14"/>
      <c r="M318" s="15"/>
      <c r="N318" s="15"/>
      <c r="O318" s="16"/>
      <c r="P318" s="14"/>
      <c r="Q318" s="14"/>
      <c r="R318" s="15"/>
    </row>
    <row r="319" spans="2:18" ht="15" thickBot="1" x14ac:dyDescent="0.4">
      <c r="B319" s="4" t="s">
        <v>497</v>
      </c>
      <c r="C319" s="5" t="s">
        <v>498</v>
      </c>
      <c r="D319" s="5" t="s">
        <v>37</v>
      </c>
      <c r="E319" s="23">
        <v>45505</v>
      </c>
      <c r="F319" s="4">
        <v>133</v>
      </c>
      <c r="G319" s="4">
        <v>1</v>
      </c>
      <c r="H319" s="4">
        <f t="shared" si="17"/>
        <v>133</v>
      </c>
      <c r="J319" s="4"/>
      <c r="K319" s="4"/>
      <c r="L319" s="14"/>
      <c r="M319" s="15"/>
      <c r="N319" s="15"/>
      <c r="O319" s="16"/>
      <c r="P319" s="14"/>
      <c r="Q319" s="14"/>
      <c r="R319" s="15"/>
    </row>
    <row r="320" spans="2:18" ht="15" thickBot="1" x14ac:dyDescent="0.4">
      <c r="B320" s="4"/>
      <c r="C320" s="5"/>
      <c r="D320" s="5"/>
      <c r="E320" s="23"/>
      <c r="F320" s="4"/>
      <c r="G320" s="4"/>
      <c r="H320" s="4">
        <f t="shared" si="17"/>
        <v>0</v>
      </c>
      <c r="J320" s="4"/>
      <c r="K320" s="4"/>
      <c r="L320" s="14"/>
      <c r="M320" s="15"/>
      <c r="N320" s="15"/>
      <c r="O320" s="16"/>
      <c r="P320" s="14"/>
      <c r="Q320" s="14"/>
      <c r="R320" s="15"/>
    </row>
    <row r="321" spans="2:18" ht="15" thickBot="1" x14ac:dyDescent="0.4">
      <c r="B321" s="4"/>
      <c r="C321" s="5"/>
      <c r="D321" s="5"/>
      <c r="E321" s="6"/>
      <c r="F321" s="4"/>
      <c r="G321" s="4"/>
      <c r="H321" s="4">
        <f t="shared" si="17"/>
        <v>0</v>
      </c>
      <c r="J321" s="4"/>
      <c r="K321" s="4"/>
      <c r="L321" s="14"/>
      <c r="M321" s="15"/>
      <c r="N321" s="15"/>
      <c r="O321" s="16"/>
      <c r="P321" s="14"/>
      <c r="Q321" s="14"/>
      <c r="R321" s="15"/>
    </row>
    <row r="322" spans="2:18" ht="15" thickBot="1" x14ac:dyDescent="0.4">
      <c r="B322" s="4"/>
      <c r="C322" s="5"/>
      <c r="D322" s="5"/>
      <c r="E322" s="6"/>
      <c r="F322" s="4"/>
      <c r="G322" s="4"/>
      <c r="H322" s="4">
        <f t="shared" si="17"/>
        <v>0</v>
      </c>
      <c r="J322" s="4"/>
      <c r="K322" s="4"/>
      <c r="L322" s="17"/>
      <c r="M322" s="20"/>
      <c r="N322" s="20"/>
      <c r="O322" s="20"/>
      <c r="P322" s="20"/>
      <c r="Q322" s="20"/>
      <c r="R322" s="17"/>
    </row>
    <row r="323" spans="2:18" ht="15" thickBot="1" x14ac:dyDescent="0.4">
      <c r="B323" s="4"/>
      <c r="C323" s="5"/>
      <c r="D323" s="5"/>
      <c r="E323" s="6"/>
      <c r="F323" s="4"/>
      <c r="G323" s="4"/>
      <c r="H323" s="4">
        <f t="shared" si="17"/>
        <v>0</v>
      </c>
      <c r="J323" s="4"/>
      <c r="K323" s="4"/>
      <c r="L323" s="4"/>
      <c r="M323" s="5"/>
      <c r="N323" s="5"/>
      <c r="O323" s="6"/>
      <c r="P323" s="4"/>
      <c r="Q323" s="4"/>
      <c r="R323" s="4"/>
    </row>
    <row r="324" spans="2:18" ht="15" thickBot="1" x14ac:dyDescent="0.4">
      <c r="B324" s="4"/>
      <c r="C324" s="5"/>
      <c r="D324" s="5"/>
      <c r="E324" s="6"/>
      <c r="F324" s="4"/>
      <c r="G324" s="4"/>
      <c r="H324" s="4">
        <f t="shared" si="17"/>
        <v>0</v>
      </c>
      <c r="J324" s="4"/>
      <c r="K324" s="4"/>
      <c r="L324" s="4"/>
      <c r="M324" s="5"/>
      <c r="N324" s="5"/>
      <c r="O324" s="6"/>
      <c r="P324" s="4"/>
      <c r="Q324" s="4"/>
      <c r="R324" s="4"/>
    </row>
    <row r="325" spans="2:18" ht="15" thickBot="1" x14ac:dyDescent="0.4">
      <c r="B325" s="4"/>
      <c r="C325" s="5"/>
      <c r="D325" s="5"/>
      <c r="E325" s="6"/>
      <c r="F325" s="4"/>
      <c r="G325" s="4"/>
      <c r="H325" s="4">
        <f t="shared" si="17"/>
        <v>0</v>
      </c>
      <c r="J325" s="4"/>
      <c r="K325" s="4"/>
      <c r="L325" s="4"/>
      <c r="M325" s="5"/>
      <c r="N325" s="5"/>
      <c r="O325" s="6"/>
      <c r="P325" s="4"/>
      <c r="Q325" s="4"/>
      <c r="R325" s="4"/>
    </row>
    <row r="326" spans="2:18" ht="15" thickBot="1" x14ac:dyDescent="0.4">
      <c r="B326" s="4"/>
      <c r="C326" s="5"/>
      <c r="D326" s="5"/>
      <c r="E326" s="6"/>
      <c r="F326" s="4"/>
      <c r="G326" s="4"/>
      <c r="H326" s="4">
        <f t="shared" si="17"/>
        <v>0</v>
      </c>
      <c r="J326" s="4"/>
      <c r="K326" s="4"/>
      <c r="L326" s="4"/>
      <c r="M326" s="5"/>
      <c r="N326" s="5"/>
      <c r="O326" s="6"/>
      <c r="P326" s="4"/>
      <c r="Q326" s="4"/>
      <c r="R326" s="4"/>
    </row>
    <row r="327" spans="2:18" ht="15" thickBot="1" x14ac:dyDescent="0.4">
      <c r="B327" s="4"/>
      <c r="C327" s="5"/>
      <c r="D327" s="5"/>
      <c r="E327" s="6"/>
      <c r="F327" s="4"/>
      <c r="G327" s="4"/>
      <c r="H327" s="4">
        <f t="shared" si="17"/>
        <v>0</v>
      </c>
      <c r="J327" s="4"/>
      <c r="K327" s="4"/>
      <c r="L327" s="4"/>
      <c r="M327" s="5"/>
      <c r="N327" s="5"/>
      <c r="O327" s="6"/>
      <c r="P327" s="4"/>
      <c r="Q327" s="4"/>
      <c r="R327" s="4"/>
    </row>
    <row r="328" spans="2:18" ht="15" thickBot="1" x14ac:dyDescent="0.4">
      <c r="B328" s="4"/>
      <c r="C328" s="5"/>
      <c r="D328" s="5"/>
      <c r="E328" s="6"/>
      <c r="F328" s="4"/>
      <c r="G328" s="4"/>
      <c r="H328" s="4">
        <f t="shared" si="17"/>
        <v>0</v>
      </c>
      <c r="J328" s="4"/>
      <c r="K328" s="4"/>
      <c r="L328" s="4"/>
      <c r="M328" s="5"/>
      <c r="N328" s="5"/>
      <c r="O328" s="6"/>
      <c r="P328" s="4"/>
      <c r="Q328" s="4"/>
      <c r="R328" s="4"/>
    </row>
    <row r="329" spans="2:18" ht="15" thickBot="1" x14ac:dyDescent="0.4">
      <c r="B329" s="4"/>
      <c r="C329" s="5"/>
      <c r="D329" s="5"/>
      <c r="E329" s="6"/>
      <c r="F329" s="4"/>
      <c r="G329" s="4"/>
      <c r="H329" s="4">
        <f t="shared" si="17"/>
        <v>0</v>
      </c>
      <c r="J329" s="4"/>
      <c r="K329" s="4"/>
      <c r="L329" s="4"/>
      <c r="M329" s="5"/>
      <c r="N329" s="5"/>
      <c r="O329" s="6"/>
      <c r="P329" s="4"/>
      <c r="Q329" s="4"/>
      <c r="R329" s="4"/>
    </row>
    <row r="330" spans="2:18" ht="15" thickBot="1" x14ac:dyDescent="0.4">
      <c r="B330" s="4"/>
      <c r="C330" s="5"/>
      <c r="D330" s="5"/>
      <c r="E330" s="6"/>
      <c r="F330" s="4"/>
      <c r="G330" s="4"/>
      <c r="H330" s="4">
        <f t="shared" si="17"/>
        <v>0</v>
      </c>
      <c r="J330" s="4"/>
      <c r="K330" s="4"/>
      <c r="L330" s="4"/>
      <c r="M330" s="5"/>
      <c r="N330" s="5"/>
      <c r="O330" s="6"/>
      <c r="P330" s="4"/>
      <c r="Q330" s="4"/>
      <c r="R330" s="4"/>
    </row>
    <row r="331" spans="2:18" ht="15" thickBot="1" x14ac:dyDescent="0.4">
      <c r="B331" s="4"/>
      <c r="C331" s="5"/>
      <c r="D331" s="5"/>
      <c r="E331" s="6"/>
      <c r="F331" s="4"/>
      <c r="G331" s="4"/>
      <c r="H331" s="4">
        <f t="shared" si="17"/>
        <v>0</v>
      </c>
      <c r="J331" s="4"/>
      <c r="K331" s="4"/>
      <c r="L331" s="7"/>
      <c r="M331" s="8"/>
      <c r="N331" s="8"/>
      <c r="O331" s="8"/>
      <c r="P331" s="8"/>
      <c r="Q331" s="3"/>
      <c r="R331" s="9"/>
    </row>
    <row r="332" spans="2:18" ht="15" thickBot="1" x14ac:dyDescent="0.4">
      <c r="B332" s="4"/>
      <c r="C332" s="5"/>
      <c r="D332" s="5"/>
      <c r="E332" s="6"/>
      <c r="F332" s="4"/>
      <c r="G332" s="4"/>
      <c r="H332" s="4">
        <f t="shared" si="17"/>
        <v>0</v>
      </c>
      <c r="J332" s="4"/>
      <c r="K332" s="4"/>
      <c r="L332" s="7"/>
      <c r="M332" s="8"/>
      <c r="N332" s="8"/>
      <c r="O332" s="8"/>
      <c r="P332" s="8"/>
      <c r="Q332" s="8"/>
      <c r="R332" s="4"/>
    </row>
    <row r="333" spans="2:18" ht="15" thickBot="1" x14ac:dyDescent="0.4">
      <c r="B333" s="4"/>
      <c r="C333" s="5"/>
      <c r="D333" s="5"/>
      <c r="E333" s="6"/>
      <c r="F333" s="4"/>
      <c r="G333" s="4"/>
      <c r="H333" s="4">
        <f t="shared" si="17"/>
        <v>0</v>
      </c>
      <c r="J333" s="4"/>
      <c r="K333" s="4"/>
      <c r="L333" s="7"/>
      <c r="M333" s="8"/>
      <c r="N333" s="8"/>
      <c r="O333" s="8"/>
      <c r="P333" s="8"/>
      <c r="Q333" s="8"/>
      <c r="R333" s="4"/>
    </row>
    <row r="334" spans="2:18" ht="15" thickBot="1" x14ac:dyDescent="0.4">
      <c r="B334" s="4"/>
      <c r="C334" s="5"/>
      <c r="D334" s="5"/>
      <c r="E334" s="6"/>
      <c r="F334" s="4"/>
      <c r="G334" s="4"/>
      <c r="H334" s="4">
        <f t="shared" si="17"/>
        <v>0</v>
      </c>
      <c r="J334" s="4"/>
      <c r="K334" s="4"/>
      <c r="L334" s="7"/>
      <c r="M334" s="8"/>
      <c r="N334" s="8"/>
      <c r="O334" s="8"/>
      <c r="P334" s="8"/>
      <c r="Q334" s="8"/>
      <c r="R334" s="4"/>
    </row>
    <row r="335" spans="2:18" ht="15" thickBot="1" x14ac:dyDescent="0.4">
      <c r="B335" s="7"/>
      <c r="C335" s="8"/>
      <c r="D335" s="8"/>
      <c r="E335" s="8"/>
      <c r="F335" s="8"/>
      <c r="G335" s="8"/>
      <c r="H335" s="4">
        <f t="shared" si="17"/>
        <v>0</v>
      </c>
      <c r="J335" s="4"/>
      <c r="K335" s="4"/>
      <c r="L335" s="7"/>
      <c r="M335" s="8"/>
      <c r="N335" s="8"/>
      <c r="O335" s="8"/>
      <c r="P335" s="8"/>
      <c r="Q335" s="8"/>
      <c r="R335" s="4"/>
    </row>
    <row r="336" spans="2:18" ht="15" thickBot="1" x14ac:dyDescent="0.4">
      <c r="B336" s="7"/>
      <c r="C336" s="8"/>
      <c r="D336" s="8"/>
      <c r="E336" s="8"/>
      <c r="F336" s="8"/>
      <c r="G336" s="8"/>
      <c r="H336" s="4">
        <f t="shared" si="17"/>
        <v>0</v>
      </c>
      <c r="J336" s="4"/>
      <c r="K336" s="4"/>
      <c r="L336" s="18"/>
      <c r="M336" s="18"/>
      <c r="N336" s="18"/>
      <c r="O336" s="18"/>
      <c r="P336" s="18"/>
      <c r="Q336" s="18"/>
      <c r="R336" s="18"/>
    </row>
    <row r="337" spans="2:18" ht="15" thickBot="1" x14ac:dyDescent="0.4">
      <c r="B337" s="7"/>
      <c r="C337" s="8"/>
      <c r="D337" s="8"/>
      <c r="E337" s="8"/>
      <c r="F337" s="8"/>
      <c r="G337" s="8"/>
      <c r="H337" s="4">
        <f t="shared" si="17"/>
        <v>0</v>
      </c>
      <c r="J337" s="4"/>
      <c r="K337" s="4"/>
      <c r="L337" s="18"/>
      <c r="M337" s="18"/>
      <c r="N337" s="18"/>
      <c r="O337" s="18"/>
      <c r="P337" s="18"/>
      <c r="Q337" s="18"/>
      <c r="R337" s="18"/>
    </row>
    <row r="338" spans="2:18" ht="15" thickBot="1" x14ac:dyDescent="0.4">
      <c r="B338" s="7"/>
      <c r="C338" s="8"/>
      <c r="D338" s="8"/>
      <c r="E338" s="8"/>
      <c r="F338" s="8"/>
      <c r="G338" s="8"/>
      <c r="H338" s="4">
        <f t="shared" si="17"/>
        <v>0</v>
      </c>
      <c r="J338" s="4"/>
      <c r="K338" s="4"/>
      <c r="L338" s="18"/>
      <c r="M338" s="18"/>
      <c r="N338" s="18"/>
      <c r="O338" s="18"/>
      <c r="P338" s="18"/>
      <c r="Q338" s="18"/>
      <c r="R338" s="18"/>
    </row>
    <row r="339" spans="2:18" ht="15" thickBot="1" x14ac:dyDescent="0.4">
      <c r="B339" s="7"/>
      <c r="C339" s="8"/>
      <c r="D339" s="8"/>
      <c r="E339" s="8"/>
      <c r="F339" s="8"/>
      <c r="G339" s="8"/>
      <c r="H339" s="4">
        <f t="shared" si="17"/>
        <v>0</v>
      </c>
      <c r="J339" s="4"/>
      <c r="K339" s="4"/>
      <c r="L339" s="18"/>
      <c r="M339" s="18"/>
      <c r="N339" s="18"/>
      <c r="O339" s="18"/>
      <c r="P339" s="18"/>
      <c r="Q339" s="18"/>
      <c r="R339" s="18"/>
    </row>
    <row r="340" spans="2:18" ht="15" thickBot="1" x14ac:dyDescent="0.4">
      <c r="B340" s="55" t="s">
        <v>50</v>
      </c>
      <c r="C340" s="56"/>
      <c r="D340" s="56"/>
      <c r="E340" s="56"/>
      <c r="F340" s="56"/>
      <c r="G340" s="56"/>
      <c r="H340" s="9">
        <f>SUM(H315:H339)</f>
        <v>1962.12</v>
      </c>
      <c r="J340" s="4"/>
      <c r="K340" s="4"/>
      <c r="L340" s="18"/>
      <c r="M340" s="18"/>
      <c r="N340" s="18"/>
      <c r="O340" s="18"/>
      <c r="P340" s="18"/>
      <c r="Q340" s="18"/>
      <c r="R340" s="18"/>
    </row>
    <row r="341" spans="2:18" ht="15" thickBot="1" x14ac:dyDescent="0.4">
      <c r="B341" s="9" t="s">
        <v>51</v>
      </c>
      <c r="C341" s="53" t="str">
        <f>ConvertCurrencyToEnglish(H340)</f>
        <v>Rupees One Thousand Nine Hundred Sixty Two and Twelve Paise Only</v>
      </c>
      <c r="D341" s="53"/>
      <c r="E341" s="53"/>
      <c r="F341" s="53"/>
      <c r="G341" s="53"/>
      <c r="H341" s="53"/>
      <c r="J341" s="4"/>
      <c r="K341" s="4"/>
      <c r="L341" s="4"/>
      <c r="M341" s="4"/>
      <c r="N341" s="4"/>
      <c r="O341" s="4"/>
      <c r="P341" s="4"/>
      <c r="Q341" s="4"/>
      <c r="R341" s="4"/>
    </row>
    <row r="342" spans="2:18" ht="15" thickBot="1" x14ac:dyDescent="0.4">
      <c r="B342" s="57" t="s">
        <v>52</v>
      </c>
      <c r="C342" s="57"/>
      <c r="D342" s="57"/>
      <c r="E342" s="57"/>
      <c r="F342" s="57"/>
      <c r="G342" s="57"/>
      <c r="H342" s="10">
        <f>H340/1.12</f>
        <v>1751.8928571428569</v>
      </c>
      <c r="J342" s="4"/>
      <c r="K342" s="4"/>
      <c r="L342" s="4"/>
      <c r="M342" s="4"/>
      <c r="N342" s="4"/>
      <c r="O342" s="4"/>
      <c r="P342" s="4"/>
      <c r="Q342" s="4"/>
      <c r="R342" s="4"/>
    </row>
    <row r="343" spans="2:18" ht="15" thickBot="1" x14ac:dyDescent="0.4">
      <c r="B343" s="57" t="s">
        <v>53</v>
      </c>
      <c r="C343" s="57"/>
      <c r="D343" s="57"/>
      <c r="E343" s="57"/>
      <c r="F343" s="57"/>
      <c r="G343" s="57"/>
      <c r="H343" s="10">
        <f>(H340-H342)/2</f>
        <v>105.1135714285715</v>
      </c>
      <c r="J343" s="4"/>
      <c r="K343" s="4"/>
      <c r="L343" s="4"/>
      <c r="M343" s="4"/>
      <c r="N343" s="4"/>
      <c r="O343" s="4"/>
      <c r="P343" s="4"/>
      <c r="Q343" s="4"/>
      <c r="R343" s="4"/>
    </row>
    <row r="344" spans="2:18" ht="15" thickBot="1" x14ac:dyDescent="0.4">
      <c r="B344" s="57" t="s">
        <v>54</v>
      </c>
      <c r="C344" s="57"/>
      <c r="D344" s="57"/>
      <c r="E344" s="57"/>
      <c r="F344" s="57"/>
      <c r="G344" s="57"/>
      <c r="H344" s="10">
        <f>(H340-H342)/2</f>
        <v>105.1135714285715</v>
      </c>
      <c r="J344" s="4"/>
      <c r="K344" s="4"/>
      <c r="L344" s="19"/>
      <c r="M344" s="10"/>
      <c r="N344" s="10"/>
      <c r="O344" s="10"/>
      <c r="P344" s="4"/>
      <c r="Q344" s="4"/>
      <c r="R344" s="18"/>
    </row>
    <row r="345" spans="2:18" ht="15" thickBot="1" x14ac:dyDescent="0.4">
      <c r="J345" s="4"/>
      <c r="K345" s="4"/>
      <c r="L345" s="10"/>
      <c r="M345" s="10"/>
      <c r="N345" s="10"/>
      <c r="O345" s="10"/>
      <c r="P345" s="4"/>
      <c r="Q345" s="4"/>
      <c r="R345" s="18"/>
    </row>
    <row r="346" spans="2:18" ht="15" thickBot="1" x14ac:dyDescent="0.4">
      <c r="J346" s="4"/>
      <c r="K346" s="4"/>
      <c r="L346" s="4"/>
      <c r="M346" s="4"/>
      <c r="N346" s="4"/>
      <c r="O346" s="4"/>
      <c r="P346" s="4"/>
      <c r="Q346" s="4"/>
      <c r="R346" s="4"/>
    </row>
    <row r="347" spans="2:18" ht="15" thickBot="1" x14ac:dyDescent="0.4">
      <c r="J347" s="4"/>
      <c r="K347" s="4"/>
      <c r="L347" s="4"/>
      <c r="M347" s="4"/>
      <c r="N347" s="4"/>
      <c r="O347" s="4"/>
      <c r="P347" s="4"/>
      <c r="Q347" s="4"/>
      <c r="R347" s="4"/>
    </row>
    <row r="348" spans="2:18" ht="15" thickBot="1" x14ac:dyDescent="0.4">
      <c r="B348" s="58" t="s">
        <v>55</v>
      </c>
      <c r="C348" s="59"/>
      <c r="D348" s="59"/>
      <c r="E348" s="59"/>
      <c r="H348" s="60" t="s">
        <v>56</v>
      </c>
      <c r="J348" s="4"/>
      <c r="K348" s="4"/>
      <c r="L348" s="4"/>
      <c r="M348" s="4"/>
      <c r="N348" s="4"/>
      <c r="O348" s="4"/>
      <c r="P348" s="4"/>
      <c r="Q348" s="4"/>
      <c r="R348" s="4"/>
    </row>
    <row r="349" spans="2:18" x14ac:dyDescent="0.35">
      <c r="B349" s="59"/>
      <c r="C349" s="59"/>
      <c r="D349" s="59"/>
      <c r="E349" s="59"/>
      <c r="H349" s="60"/>
    </row>
    <row r="352" spans="2:18" ht="15" thickBot="1" x14ac:dyDescent="0.4"/>
    <row r="353" spans="2:18" ht="15.5" x14ac:dyDescent="0.35">
      <c r="B353" s="44" t="s">
        <v>62</v>
      </c>
      <c r="C353" s="45"/>
      <c r="D353" s="45"/>
      <c r="E353" s="45"/>
      <c r="F353" s="45"/>
      <c r="G353" s="45"/>
      <c r="H353" s="46"/>
      <c r="J353" s="11"/>
      <c r="K353" s="27" t="s">
        <v>59</v>
      </c>
      <c r="L353" s="28"/>
      <c r="M353" s="28"/>
      <c r="N353" s="28"/>
      <c r="O353" s="28"/>
      <c r="P353" s="28"/>
      <c r="Q353" s="29"/>
      <c r="R353" s="11"/>
    </row>
    <row r="354" spans="2:18" ht="15.5" x14ac:dyDescent="0.35">
      <c r="B354" s="47"/>
      <c r="C354" s="48"/>
      <c r="D354" s="48"/>
      <c r="E354" s="48"/>
      <c r="F354" s="48"/>
      <c r="G354" s="48"/>
      <c r="H354" s="49"/>
      <c r="J354" s="11"/>
      <c r="K354" s="30"/>
      <c r="L354" s="31"/>
      <c r="M354" s="31"/>
      <c r="N354" s="31"/>
      <c r="O354" s="31"/>
      <c r="P354" s="31"/>
      <c r="Q354" s="32"/>
      <c r="R354" s="11"/>
    </row>
    <row r="355" spans="2:18" ht="16" thickBot="1" x14ac:dyDescent="0.4">
      <c r="B355" s="47"/>
      <c r="C355" s="48"/>
      <c r="D355" s="48"/>
      <c r="E355" s="48"/>
      <c r="F355" s="48"/>
      <c r="G355" s="48"/>
      <c r="H355" s="49"/>
      <c r="J355" s="11"/>
      <c r="K355" s="33"/>
      <c r="L355" s="34"/>
      <c r="M355" s="34"/>
      <c r="N355" s="34"/>
      <c r="O355" s="34"/>
      <c r="P355" s="34"/>
      <c r="Q355" s="35"/>
      <c r="R355" s="11"/>
    </row>
    <row r="356" spans="2:18" ht="15" thickBot="1" x14ac:dyDescent="0.4">
      <c r="B356" s="50"/>
      <c r="C356" s="51"/>
      <c r="D356" s="51"/>
      <c r="E356" s="51"/>
      <c r="F356" s="51"/>
      <c r="G356" s="51"/>
      <c r="H356" s="52"/>
    </row>
    <row r="357" spans="2:18" ht="15" thickBot="1" x14ac:dyDescent="0.4">
      <c r="K357" s="36" t="s">
        <v>1</v>
      </c>
      <c r="L357" s="37"/>
      <c r="M357" s="38"/>
      <c r="N357" s="42" t="str">
        <f>E7</f>
        <v>KABITA GOGOI(ESIC/S.H.R.C.)</v>
      </c>
      <c r="O357" s="43"/>
      <c r="P357" s="43"/>
      <c r="Q357" s="43"/>
      <c r="R357" s="12"/>
    </row>
    <row r="358" spans="2:18" ht="15" thickBot="1" x14ac:dyDescent="0.4">
      <c r="B358" s="54" t="s">
        <v>1</v>
      </c>
      <c r="C358" s="54"/>
      <c r="D358" s="54"/>
      <c r="E358" s="42" t="str">
        <f>E7</f>
        <v>KABITA GOGOI(ESIC/S.H.R.C.)</v>
      </c>
      <c r="F358" s="43"/>
      <c r="G358" s="43"/>
      <c r="H358" s="43"/>
      <c r="K358" s="39"/>
      <c r="L358" s="40"/>
      <c r="M358" s="41"/>
      <c r="N358" s="43"/>
      <c r="O358" s="43"/>
      <c r="P358" s="43"/>
      <c r="Q358" s="43"/>
      <c r="R358" s="12"/>
    </row>
    <row r="359" spans="2:18" ht="15" thickBot="1" x14ac:dyDescent="0.4">
      <c r="B359" s="54"/>
      <c r="C359" s="54"/>
      <c r="D359" s="54"/>
      <c r="E359" s="43"/>
      <c r="F359" s="43"/>
      <c r="G359" s="43"/>
      <c r="H359" s="43"/>
    </row>
    <row r="360" spans="2:18" ht="15" thickBot="1" x14ac:dyDescent="0.4">
      <c r="B360" s="48"/>
      <c r="C360" s="48"/>
      <c r="D360" s="48"/>
      <c r="E360" s="48"/>
      <c r="F360" s="48"/>
      <c r="G360" s="48"/>
      <c r="H360" s="48"/>
      <c r="J360" s="10" t="s">
        <v>57</v>
      </c>
      <c r="K360" s="10" t="s">
        <v>58</v>
      </c>
      <c r="L360" s="2" t="s">
        <v>4</v>
      </c>
      <c r="M360" s="2" t="s">
        <v>5</v>
      </c>
      <c r="N360" s="3" t="s">
        <v>6</v>
      </c>
      <c r="O360" s="2" t="s">
        <v>7</v>
      </c>
      <c r="P360" s="2" t="s">
        <v>8</v>
      </c>
      <c r="Q360" s="2" t="s">
        <v>60</v>
      </c>
      <c r="R360" s="2" t="s">
        <v>61</v>
      </c>
    </row>
    <row r="361" spans="2:18" ht="15" thickBot="1" x14ac:dyDescent="0.4">
      <c r="J361" s="4"/>
      <c r="K361" s="13"/>
      <c r="L361" s="14"/>
      <c r="M361" s="15"/>
      <c r="N361" s="15"/>
      <c r="O361" s="16"/>
      <c r="P361" s="14"/>
      <c r="Q361" s="14"/>
      <c r="R361" s="15"/>
    </row>
    <row r="362" spans="2:18" ht="15" thickBot="1" x14ac:dyDescent="0.4">
      <c r="B362" s="1" t="s">
        <v>502</v>
      </c>
      <c r="G362" s="1" t="s">
        <v>3</v>
      </c>
      <c r="H362" s="13" t="s">
        <v>501</v>
      </c>
      <c r="J362" s="4"/>
      <c r="K362" s="10"/>
      <c r="L362" s="14"/>
      <c r="M362" s="15"/>
      <c r="N362" s="15"/>
      <c r="O362" s="16"/>
      <c r="P362" s="14"/>
      <c r="Q362" s="14"/>
      <c r="R362" s="15"/>
    </row>
    <row r="363" spans="2:18" ht="15" thickBot="1" x14ac:dyDescent="0.4">
      <c r="J363" s="4"/>
      <c r="K363" s="4"/>
      <c r="L363" s="14"/>
      <c r="M363" s="15"/>
      <c r="N363" s="15"/>
      <c r="O363" s="16"/>
      <c r="P363" s="14"/>
      <c r="Q363" s="14"/>
      <c r="R363" s="15"/>
    </row>
    <row r="364" spans="2:18" ht="15" thickBot="1" x14ac:dyDescent="0.4">
      <c r="B364" s="2" t="s">
        <v>4</v>
      </c>
      <c r="C364" s="2" t="s">
        <v>5</v>
      </c>
      <c r="D364" s="3" t="s">
        <v>6</v>
      </c>
      <c r="E364" s="2" t="s">
        <v>7</v>
      </c>
      <c r="F364" s="2" t="s">
        <v>8</v>
      </c>
      <c r="G364" s="2" t="s">
        <v>9</v>
      </c>
      <c r="H364" s="2" t="s">
        <v>10</v>
      </c>
      <c r="J364" s="4"/>
      <c r="K364" s="4"/>
      <c r="L364" s="14"/>
      <c r="M364" s="15"/>
      <c r="N364" s="15"/>
      <c r="O364" s="16"/>
      <c r="P364" s="14"/>
      <c r="Q364" s="14"/>
      <c r="R364" s="15"/>
    </row>
    <row r="365" spans="2:18" ht="15" thickBot="1" x14ac:dyDescent="0.4">
      <c r="B365" s="4" t="s">
        <v>241</v>
      </c>
      <c r="C365" s="5">
        <v>1093</v>
      </c>
      <c r="D365" s="5" t="s">
        <v>500</v>
      </c>
      <c r="E365" s="6">
        <v>45352</v>
      </c>
      <c r="F365" s="4">
        <v>671.65</v>
      </c>
      <c r="G365" s="4">
        <v>2</v>
      </c>
      <c r="H365" s="4">
        <f>F365*G365</f>
        <v>1343.3</v>
      </c>
      <c r="J365" s="4"/>
      <c r="K365" s="4"/>
      <c r="L365" s="14"/>
      <c r="M365" s="15"/>
      <c r="N365" s="15"/>
      <c r="O365" s="16"/>
      <c r="P365" s="14"/>
      <c r="Q365" s="14"/>
      <c r="R365" s="15"/>
    </row>
    <row r="366" spans="2:18" ht="15" thickBot="1" x14ac:dyDescent="0.4">
      <c r="B366" s="14" t="s">
        <v>485</v>
      </c>
      <c r="C366" s="15" t="s">
        <v>293</v>
      </c>
      <c r="D366" s="15" t="s">
        <v>294</v>
      </c>
      <c r="E366" s="24">
        <v>45383</v>
      </c>
      <c r="F366" s="15">
        <v>137.30000000000001</v>
      </c>
      <c r="G366" s="4">
        <v>1</v>
      </c>
      <c r="H366" s="4">
        <f t="shared" ref="H366:H389" si="18">F366*G366</f>
        <v>137.30000000000001</v>
      </c>
      <c r="J366" s="4"/>
      <c r="K366" s="4"/>
      <c r="L366" s="14"/>
      <c r="M366" s="15"/>
      <c r="N366" s="15"/>
      <c r="O366" s="16"/>
      <c r="P366" s="14"/>
      <c r="Q366" s="14"/>
      <c r="R366" s="15"/>
    </row>
    <row r="367" spans="2:18" ht="15" thickBot="1" x14ac:dyDescent="0.4">
      <c r="B367" s="4" t="s">
        <v>486</v>
      </c>
      <c r="C367" s="5">
        <v>1651</v>
      </c>
      <c r="D367" s="5" t="s">
        <v>92</v>
      </c>
      <c r="E367" s="23">
        <v>45047</v>
      </c>
      <c r="F367" s="4">
        <v>24.64</v>
      </c>
      <c r="G367" s="4">
        <v>3</v>
      </c>
      <c r="H367" s="4">
        <f t="shared" si="18"/>
        <v>73.92</v>
      </c>
      <c r="J367" s="4"/>
      <c r="K367" s="4"/>
      <c r="L367" s="14"/>
      <c r="M367" s="15"/>
      <c r="N367" s="15"/>
      <c r="O367" s="16"/>
      <c r="P367" s="14"/>
      <c r="Q367" s="14"/>
      <c r="R367" s="15"/>
    </row>
    <row r="368" spans="2:18" ht="15" thickBot="1" x14ac:dyDescent="0.4">
      <c r="B368" s="4" t="s">
        <v>205</v>
      </c>
      <c r="C368" s="5">
        <v>160</v>
      </c>
      <c r="D368" s="5" t="s">
        <v>92</v>
      </c>
      <c r="E368" s="23">
        <v>45009</v>
      </c>
      <c r="F368" s="4">
        <v>137.30000000000001</v>
      </c>
      <c r="G368" s="4">
        <v>2</v>
      </c>
      <c r="H368" s="4">
        <f t="shared" si="18"/>
        <v>274.60000000000002</v>
      </c>
      <c r="J368" s="4"/>
      <c r="K368" s="4"/>
      <c r="L368" s="14"/>
      <c r="M368" s="15"/>
      <c r="N368" s="15"/>
      <c r="O368" s="16"/>
      <c r="P368" s="14"/>
      <c r="Q368" s="14"/>
      <c r="R368" s="15"/>
    </row>
    <row r="369" spans="2:18" ht="15" thickBot="1" x14ac:dyDescent="0.4">
      <c r="B369" s="4" t="s">
        <v>497</v>
      </c>
      <c r="C369" s="5" t="s">
        <v>498</v>
      </c>
      <c r="D369" s="5" t="s">
        <v>37</v>
      </c>
      <c r="E369" s="23">
        <v>45505</v>
      </c>
      <c r="F369" s="4">
        <v>133</v>
      </c>
      <c r="G369" s="4">
        <v>1</v>
      </c>
      <c r="H369" s="4">
        <f t="shared" si="18"/>
        <v>133</v>
      </c>
      <c r="J369" s="4"/>
      <c r="K369" s="4"/>
      <c r="L369" s="14"/>
      <c r="M369" s="15"/>
      <c r="N369" s="15"/>
      <c r="O369" s="16"/>
      <c r="P369" s="14"/>
      <c r="Q369" s="14"/>
      <c r="R369" s="15"/>
    </row>
    <row r="370" spans="2:18" ht="15" thickBot="1" x14ac:dyDescent="0.4">
      <c r="B370" s="4"/>
      <c r="C370" s="5"/>
      <c r="D370" s="5"/>
      <c r="E370" s="4"/>
      <c r="F370" s="4"/>
      <c r="G370" s="4"/>
      <c r="H370" s="4">
        <f t="shared" si="18"/>
        <v>0</v>
      </c>
      <c r="J370" s="4"/>
      <c r="K370" s="4"/>
      <c r="L370" s="14"/>
      <c r="M370" s="15"/>
      <c r="N370" s="15"/>
      <c r="O370" s="16"/>
      <c r="P370" s="14"/>
      <c r="Q370" s="14"/>
      <c r="R370" s="15"/>
    </row>
    <row r="371" spans="2:18" ht="15" thickBot="1" x14ac:dyDescent="0.4">
      <c r="B371" s="4"/>
      <c r="C371" s="5"/>
      <c r="D371" s="5"/>
      <c r="E371" s="6"/>
      <c r="F371" s="4"/>
      <c r="G371" s="4"/>
      <c r="H371" s="4">
        <f t="shared" si="18"/>
        <v>0</v>
      </c>
      <c r="J371" s="4"/>
      <c r="K371" s="4"/>
      <c r="L371" s="14"/>
      <c r="M371" s="15"/>
      <c r="N371" s="15"/>
      <c r="O371" s="16"/>
      <c r="P371" s="14"/>
      <c r="Q371" s="14"/>
      <c r="R371" s="15"/>
    </row>
    <row r="372" spans="2:18" ht="15" thickBot="1" x14ac:dyDescent="0.4">
      <c r="B372" s="4"/>
      <c r="C372" s="5"/>
      <c r="D372" s="5"/>
      <c r="E372" s="6"/>
      <c r="F372" s="4"/>
      <c r="G372" s="4"/>
      <c r="H372" s="4">
        <f t="shared" si="18"/>
        <v>0</v>
      </c>
      <c r="J372" s="4"/>
      <c r="K372" s="4"/>
      <c r="L372" s="17"/>
      <c r="M372" s="20"/>
      <c r="N372" s="20"/>
      <c r="O372" s="20"/>
      <c r="P372" s="20"/>
      <c r="Q372" s="20"/>
      <c r="R372" s="17"/>
    </row>
    <row r="373" spans="2:18" ht="15" thickBot="1" x14ac:dyDescent="0.4">
      <c r="B373" s="4"/>
      <c r="C373" s="5"/>
      <c r="D373" s="5"/>
      <c r="E373" s="6"/>
      <c r="F373" s="4"/>
      <c r="G373" s="4"/>
      <c r="H373" s="4">
        <f t="shared" si="18"/>
        <v>0</v>
      </c>
      <c r="J373" s="4"/>
      <c r="K373" s="4"/>
      <c r="L373" s="4"/>
      <c r="M373" s="5"/>
      <c r="N373" s="5"/>
      <c r="O373" s="6"/>
      <c r="P373" s="4"/>
      <c r="Q373" s="4"/>
      <c r="R373" s="4"/>
    </row>
    <row r="374" spans="2:18" ht="15" thickBot="1" x14ac:dyDescent="0.4">
      <c r="B374" s="4"/>
      <c r="C374" s="5"/>
      <c r="D374" s="5"/>
      <c r="E374" s="6"/>
      <c r="F374" s="4"/>
      <c r="G374" s="4"/>
      <c r="H374" s="4">
        <f t="shared" si="18"/>
        <v>0</v>
      </c>
      <c r="J374" s="4"/>
      <c r="K374" s="4"/>
      <c r="L374" s="4"/>
      <c r="M374" s="5"/>
      <c r="N374" s="5"/>
      <c r="O374" s="6"/>
      <c r="P374" s="4"/>
      <c r="Q374" s="4"/>
      <c r="R374" s="4"/>
    </row>
    <row r="375" spans="2:18" ht="15" thickBot="1" x14ac:dyDescent="0.4">
      <c r="B375" s="4"/>
      <c r="C375" s="5"/>
      <c r="D375" s="5"/>
      <c r="E375" s="6"/>
      <c r="F375" s="4"/>
      <c r="G375" s="4"/>
      <c r="H375" s="4">
        <f t="shared" si="18"/>
        <v>0</v>
      </c>
      <c r="J375" s="4"/>
      <c r="K375" s="4"/>
      <c r="L375" s="4"/>
      <c r="M375" s="5"/>
      <c r="N375" s="5"/>
      <c r="O375" s="6"/>
      <c r="P375" s="4"/>
      <c r="Q375" s="4"/>
      <c r="R375" s="4"/>
    </row>
    <row r="376" spans="2:18" ht="15" thickBot="1" x14ac:dyDescent="0.4">
      <c r="B376" s="4"/>
      <c r="C376" s="5"/>
      <c r="D376" s="5"/>
      <c r="E376" s="6"/>
      <c r="F376" s="4"/>
      <c r="G376" s="4"/>
      <c r="H376" s="4">
        <f t="shared" si="18"/>
        <v>0</v>
      </c>
      <c r="J376" s="4"/>
      <c r="K376" s="4"/>
      <c r="L376" s="4"/>
      <c r="M376" s="5"/>
      <c r="N376" s="5"/>
      <c r="O376" s="6"/>
      <c r="P376" s="4"/>
      <c r="Q376" s="4"/>
      <c r="R376" s="4"/>
    </row>
    <row r="377" spans="2:18" ht="15" thickBot="1" x14ac:dyDescent="0.4">
      <c r="B377" s="4"/>
      <c r="C377" s="5"/>
      <c r="D377" s="5"/>
      <c r="E377" s="6"/>
      <c r="F377" s="4"/>
      <c r="G377" s="4"/>
      <c r="H377" s="4">
        <f t="shared" si="18"/>
        <v>0</v>
      </c>
      <c r="J377" s="4"/>
      <c r="K377" s="4"/>
      <c r="L377" s="4"/>
      <c r="M377" s="5"/>
      <c r="N377" s="5"/>
      <c r="O377" s="6"/>
      <c r="P377" s="4"/>
      <c r="Q377" s="4"/>
      <c r="R377" s="4"/>
    </row>
    <row r="378" spans="2:18" ht="15" thickBot="1" x14ac:dyDescent="0.4">
      <c r="B378" s="4"/>
      <c r="C378" s="5"/>
      <c r="D378" s="5"/>
      <c r="E378" s="6"/>
      <c r="F378" s="4"/>
      <c r="G378" s="4"/>
      <c r="H378" s="4">
        <f t="shared" si="18"/>
        <v>0</v>
      </c>
      <c r="J378" s="4"/>
      <c r="K378" s="4"/>
      <c r="L378" s="4"/>
      <c r="M378" s="5"/>
      <c r="N378" s="5"/>
      <c r="O378" s="6"/>
      <c r="P378" s="4"/>
      <c r="Q378" s="4"/>
      <c r="R378" s="4"/>
    </row>
    <row r="379" spans="2:18" ht="15" thickBot="1" x14ac:dyDescent="0.4">
      <c r="B379" s="4"/>
      <c r="C379" s="5"/>
      <c r="D379" s="5"/>
      <c r="E379" s="6"/>
      <c r="F379" s="4"/>
      <c r="G379" s="4"/>
      <c r="H379" s="4">
        <f t="shared" si="18"/>
        <v>0</v>
      </c>
      <c r="J379" s="4"/>
      <c r="K379" s="4"/>
      <c r="L379" s="4"/>
      <c r="M379" s="5"/>
      <c r="N379" s="5"/>
      <c r="O379" s="6"/>
      <c r="P379" s="4"/>
      <c r="Q379" s="4"/>
      <c r="R379" s="4"/>
    </row>
    <row r="380" spans="2:18" ht="15" thickBot="1" x14ac:dyDescent="0.4">
      <c r="B380" s="4"/>
      <c r="C380" s="5"/>
      <c r="D380" s="5"/>
      <c r="E380" s="6"/>
      <c r="F380" s="4"/>
      <c r="G380" s="4"/>
      <c r="H380" s="4">
        <f t="shared" si="18"/>
        <v>0</v>
      </c>
      <c r="J380" s="4"/>
      <c r="K380" s="4"/>
      <c r="L380" s="4"/>
      <c r="M380" s="5"/>
      <c r="N380" s="5"/>
      <c r="O380" s="6"/>
      <c r="P380" s="4"/>
      <c r="Q380" s="4"/>
      <c r="R380" s="4"/>
    </row>
    <row r="381" spans="2:18" ht="15" thickBot="1" x14ac:dyDescent="0.4">
      <c r="B381" s="4"/>
      <c r="C381" s="5"/>
      <c r="D381" s="5"/>
      <c r="E381" s="6"/>
      <c r="F381" s="4"/>
      <c r="G381" s="4"/>
      <c r="H381" s="4">
        <f t="shared" si="18"/>
        <v>0</v>
      </c>
      <c r="J381" s="4"/>
      <c r="K381" s="4"/>
      <c r="L381" s="7"/>
      <c r="M381" s="8"/>
      <c r="N381" s="8"/>
      <c r="O381" s="8"/>
      <c r="P381" s="8"/>
      <c r="Q381" s="3"/>
      <c r="R381" s="9"/>
    </row>
    <row r="382" spans="2:18" ht="15" thickBot="1" x14ac:dyDescent="0.4">
      <c r="B382" s="4"/>
      <c r="C382" s="5"/>
      <c r="D382" s="5"/>
      <c r="E382" s="6"/>
      <c r="F382" s="4"/>
      <c r="G382" s="4"/>
      <c r="H382" s="4">
        <f t="shared" si="18"/>
        <v>0</v>
      </c>
      <c r="J382" s="4"/>
      <c r="K382" s="4"/>
      <c r="L382" s="7"/>
      <c r="M382" s="8"/>
      <c r="N382" s="8"/>
      <c r="O382" s="8"/>
      <c r="P382" s="8"/>
      <c r="Q382" s="8"/>
      <c r="R382" s="4"/>
    </row>
    <row r="383" spans="2:18" ht="15" thickBot="1" x14ac:dyDescent="0.4">
      <c r="B383" s="4"/>
      <c r="C383" s="5"/>
      <c r="D383" s="5"/>
      <c r="E383" s="6"/>
      <c r="F383" s="4"/>
      <c r="G383" s="4"/>
      <c r="H383" s="4">
        <f t="shared" si="18"/>
        <v>0</v>
      </c>
      <c r="J383" s="4"/>
      <c r="K383" s="4"/>
      <c r="L383" s="7"/>
      <c r="M383" s="8"/>
      <c r="N383" s="8"/>
      <c r="O383" s="8"/>
      <c r="P383" s="8"/>
      <c r="Q383" s="8"/>
      <c r="R383" s="4"/>
    </row>
    <row r="384" spans="2:18" ht="15" thickBot="1" x14ac:dyDescent="0.4">
      <c r="B384" s="4"/>
      <c r="C384" s="5"/>
      <c r="D384" s="5"/>
      <c r="E384" s="6"/>
      <c r="F384" s="4"/>
      <c r="G384" s="4"/>
      <c r="H384" s="4">
        <f t="shared" si="18"/>
        <v>0</v>
      </c>
      <c r="J384" s="4"/>
      <c r="K384" s="4"/>
      <c r="L384" s="7"/>
      <c r="M384" s="8"/>
      <c r="N384" s="8"/>
      <c r="O384" s="8"/>
      <c r="P384" s="8"/>
      <c r="Q384" s="8"/>
      <c r="R384" s="4"/>
    </row>
    <row r="385" spans="2:18" ht="15" thickBot="1" x14ac:dyDescent="0.4">
      <c r="B385" s="7"/>
      <c r="C385" s="8"/>
      <c r="D385" s="8"/>
      <c r="E385" s="8"/>
      <c r="F385" s="8"/>
      <c r="G385" s="8"/>
      <c r="H385" s="4">
        <f t="shared" si="18"/>
        <v>0</v>
      </c>
      <c r="J385" s="4"/>
      <c r="K385" s="4"/>
      <c r="L385" s="7"/>
      <c r="M385" s="8"/>
      <c r="N385" s="8"/>
      <c r="O385" s="8"/>
      <c r="P385" s="8"/>
      <c r="Q385" s="8"/>
      <c r="R385" s="4"/>
    </row>
    <row r="386" spans="2:18" ht="15" thickBot="1" x14ac:dyDescent="0.4">
      <c r="B386" s="7"/>
      <c r="C386" s="8"/>
      <c r="D386" s="8"/>
      <c r="E386" s="8"/>
      <c r="F386" s="8"/>
      <c r="G386" s="8"/>
      <c r="H386" s="4">
        <f t="shared" si="18"/>
        <v>0</v>
      </c>
      <c r="J386" s="4"/>
      <c r="K386" s="4"/>
      <c r="L386" s="18"/>
      <c r="M386" s="18"/>
      <c r="N386" s="18"/>
      <c r="O386" s="18"/>
      <c r="P386" s="18"/>
      <c r="Q386" s="18"/>
      <c r="R386" s="18"/>
    </row>
    <row r="387" spans="2:18" ht="15" thickBot="1" x14ac:dyDescent="0.4">
      <c r="B387" s="7"/>
      <c r="C387" s="8"/>
      <c r="D387" s="8"/>
      <c r="E387" s="8"/>
      <c r="F387" s="8"/>
      <c r="G387" s="8"/>
      <c r="H387" s="4">
        <f t="shared" si="18"/>
        <v>0</v>
      </c>
      <c r="J387" s="4"/>
      <c r="K387" s="4"/>
      <c r="L387" s="18"/>
      <c r="M387" s="18"/>
      <c r="N387" s="18"/>
      <c r="O387" s="18"/>
      <c r="P387" s="18"/>
      <c r="Q387" s="18"/>
      <c r="R387" s="18"/>
    </row>
    <row r="388" spans="2:18" ht="15" thickBot="1" x14ac:dyDescent="0.4">
      <c r="B388" s="7"/>
      <c r="C388" s="8"/>
      <c r="D388" s="8"/>
      <c r="E388" s="8"/>
      <c r="F388" s="8"/>
      <c r="G388" s="8"/>
      <c r="H388" s="4">
        <f t="shared" si="18"/>
        <v>0</v>
      </c>
      <c r="J388" s="4"/>
      <c r="K388" s="4"/>
      <c r="L388" s="18"/>
      <c r="M388" s="18"/>
      <c r="N388" s="18"/>
      <c r="O388" s="18"/>
      <c r="P388" s="18"/>
      <c r="Q388" s="18"/>
      <c r="R388" s="18"/>
    </row>
    <row r="389" spans="2:18" ht="15" thickBot="1" x14ac:dyDescent="0.4">
      <c r="B389" s="7"/>
      <c r="C389" s="8"/>
      <c r="D389" s="8"/>
      <c r="E389" s="8"/>
      <c r="F389" s="8"/>
      <c r="G389" s="8"/>
      <c r="H389" s="4">
        <f t="shared" si="18"/>
        <v>0</v>
      </c>
      <c r="J389" s="4"/>
      <c r="K389" s="4"/>
      <c r="L389" s="18"/>
      <c r="M389" s="18"/>
      <c r="N389" s="18"/>
      <c r="O389" s="18"/>
      <c r="P389" s="18"/>
      <c r="Q389" s="18"/>
      <c r="R389" s="18"/>
    </row>
    <row r="390" spans="2:18" ht="15" thickBot="1" x14ac:dyDescent="0.4">
      <c r="B390" s="55" t="s">
        <v>50</v>
      </c>
      <c r="C390" s="56"/>
      <c r="D390" s="56"/>
      <c r="E390" s="56"/>
      <c r="F390" s="56"/>
      <c r="G390" s="56"/>
      <c r="H390" s="9">
        <f>SUM(H365:H389)</f>
        <v>1962.12</v>
      </c>
      <c r="J390" s="4"/>
      <c r="K390" s="4"/>
      <c r="L390" s="18"/>
      <c r="M390" s="18"/>
      <c r="N390" s="18"/>
      <c r="O390" s="18"/>
      <c r="P390" s="18"/>
      <c r="Q390" s="18"/>
      <c r="R390" s="18"/>
    </row>
    <row r="391" spans="2:18" ht="15" thickBot="1" x14ac:dyDescent="0.4">
      <c r="B391" s="9" t="s">
        <v>51</v>
      </c>
      <c r="C391" s="53" t="str">
        <f>ConvertCurrencyToEnglish(H390)</f>
        <v>Rupees One Thousand Nine Hundred Sixty Two and Twelve Paise Only</v>
      </c>
      <c r="D391" s="53"/>
      <c r="E391" s="53"/>
      <c r="F391" s="53"/>
      <c r="G391" s="53"/>
      <c r="H391" s="53"/>
      <c r="J391" s="4"/>
      <c r="K391" s="4"/>
      <c r="L391" s="4"/>
      <c r="M391" s="4"/>
      <c r="N391" s="4"/>
      <c r="O391" s="4"/>
      <c r="P391" s="4"/>
      <c r="Q391" s="4"/>
      <c r="R391" s="4"/>
    </row>
    <row r="392" spans="2:18" ht="15" thickBot="1" x14ac:dyDescent="0.4">
      <c r="B392" s="57" t="s">
        <v>52</v>
      </c>
      <c r="C392" s="57"/>
      <c r="D392" s="57"/>
      <c r="E392" s="57"/>
      <c r="F392" s="57"/>
      <c r="G392" s="57"/>
      <c r="H392" s="10">
        <f>H390/1.12</f>
        <v>1751.8928571428569</v>
      </c>
      <c r="J392" s="4"/>
      <c r="K392" s="4"/>
      <c r="L392" s="4"/>
      <c r="M392" s="4"/>
      <c r="N392" s="4"/>
      <c r="O392" s="4"/>
      <c r="P392" s="4"/>
      <c r="Q392" s="4"/>
      <c r="R392" s="4"/>
    </row>
    <row r="393" spans="2:18" ht="15" thickBot="1" x14ac:dyDescent="0.4">
      <c r="B393" s="57" t="s">
        <v>53</v>
      </c>
      <c r="C393" s="57"/>
      <c r="D393" s="57"/>
      <c r="E393" s="57"/>
      <c r="F393" s="57"/>
      <c r="G393" s="57"/>
      <c r="H393" s="10">
        <f>(H390-H392)/2</f>
        <v>105.1135714285715</v>
      </c>
      <c r="J393" s="4"/>
      <c r="K393" s="4"/>
      <c r="L393" s="4"/>
      <c r="M393" s="4"/>
      <c r="N393" s="4"/>
      <c r="O393" s="4"/>
      <c r="P393" s="4"/>
      <c r="Q393" s="4"/>
      <c r="R393" s="4"/>
    </row>
    <row r="394" spans="2:18" ht="15" thickBot="1" x14ac:dyDescent="0.4">
      <c r="B394" s="57" t="s">
        <v>54</v>
      </c>
      <c r="C394" s="57"/>
      <c r="D394" s="57"/>
      <c r="E394" s="57"/>
      <c r="F394" s="57"/>
      <c r="G394" s="57"/>
      <c r="H394" s="10">
        <f>(H390-H392)/2</f>
        <v>105.1135714285715</v>
      </c>
      <c r="J394" s="4"/>
      <c r="K394" s="4"/>
      <c r="L394" s="19"/>
      <c r="M394" s="10"/>
      <c r="N394" s="10"/>
      <c r="O394" s="10"/>
      <c r="P394" s="4"/>
      <c r="Q394" s="4"/>
      <c r="R394" s="18"/>
    </row>
    <row r="395" spans="2:18" ht="15" thickBot="1" x14ac:dyDescent="0.4">
      <c r="J395" s="4"/>
      <c r="K395" s="4"/>
      <c r="L395" s="10"/>
      <c r="M395" s="10"/>
      <c r="N395" s="10"/>
      <c r="O395" s="10"/>
      <c r="P395" s="4"/>
      <c r="Q395" s="4"/>
      <c r="R395" s="18"/>
    </row>
    <row r="396" spans="2:18" ht="15" thickBot="1" x14ac:dyDescent="0.4">
      <c r="J396" s="4"/>
      <c r="K396" s="4"/>
      <c r="L396" s="4"/>
      <c r="M396" s="4"/>
      <c r="N396" s="4"/>
      <c r="O396" s="4"/>
      <c r="P396" s="4"/>
      <c r="Q396" s="4"/>
      <c r="R396" s="4"/>
    </row>
    <row r="397" spans="2:18" ht="15" thickBot="1" x14ac:dyDescent="0.4">
      <c r="J397" s="4"/>
      <c r="K397" s="4"/>
      <c r="L397" s="4"/>
      <c r="M397" s="4"/>
      <c r="N397" s="4"/>
      <c r="O397" s="4"/>
      <c r="P397" s="4"/>
      <c r="Q397" s="4"/>
      <c r="R397" s="4"/>
    </row>
    <row r="398" spans="2:18" ht="15" thickBot="1" x14ac:dyDescent="0.4">
      <c r="B398" s="58" t="s">
        <v>55</v>
      </c>
      <c r="C398" s="59"/>
      <c r="D398" s="59"/>
      <c r="E398" s="59"/>
      <c r="H398" s="60" t="s">
        <v>56</v>
      </c>
      <c r="J398" s="4"/>
      <c r="K398" s="4"/>
      <c r="L398" s="4"/>
      <c r="M398" s="4"/>
      <c r="N398" s="4"/>
      <c r="O398" s="4"/>
      <c r="P398" s="4"/>
      <c r="Q398" s="4"/>
      <c r="R398" s="4"/>
    </row>
    <row r="399" spans="2:18" x14ac:dyDescent="0.35">
      <c r="B399" s="59"/>
      <c r="C399" s="59"/>
      <c r="D399" s="59"/>
      <c r="E399" s="59"/>
      <c r="H399" s="60"/>
    </row>
  </sheetData>
  <mergeCells count="112">
    <mergeCell ref="K353:Q355"/>
    <mergeCell ref="K357:M358"/>
    <mergeCell ref="N357:Q358"/>
    <mergeCell ref="K253:Q255"/>
    <mergeCell ref="K257:M258"/>
    <mergeCell ref="N257:Q258"/>
    <mergeCell ref="K303:Q305"/>
    <mergeCell ref="K307:M308"/>
    <mergeCell ref="N307:Q308"/>
    <mergeCell ref="K153:Q155"/>
    <mergeCell ref="K157:M158"/>
    <mergeCell ref="N157:Q158"/>
    <mergeCell ref="K203:Q205"/>
    <mergeCell ref="K207:M208"/>
    <mergeCell ref="N207:Q208"/>
    <mergeCell ref="K56:M57"/>
    <mergeCell ref="N56:Q57"/>
    <mergeCell ref="K103:Q105"/>
    <mergeCell ref="K107:M108"/>
    <mergeCell ref="N107:Q108"/>
    <mergeCell ref="C391:H391"/>
    <mergeCell ref="B392:G392"/>
    <mergeCell ref="B393:G393"/>
    <mergeCell ref="B394:G394"/>
    <mergeCell ref="B398:E399"/>
    <mergeCell ref="H398:H399"/>
    <mergeCell ref="B353:H356"/>
    <mergeCell ref="B358:D359"/>
    <mergeCell ref="E358:H359"/>
    <mergeCell ref="B360:H360"/>
    <mergeCell ref="B390:G390"/>
    <mergeCell ref="C341:H341"/>
    <mergeCell ref="B342:G342"/>
    <mergeCell ref="B343:G343"/>
    <mergeCell ref="B344:G344"/>
    <mergeCell ref="B348:E349"/>
    <mergeCell ref="H348:H349"/>
    <mergeCell ref="B303:H306"/>
    <mergeCell ref="B308:D309"/>
    <mergeCell ref="E308:H309"/>
    <mergeCell ref="B310:H310"/>
    <mergeCell ref="B340:G340"/>
    <mergeCell ref="C291:H291"/>
    <mergeCell ref="B292:G292"/>
    <mergeCell ref="B293:G293"/>
    <mergeCell ref="B294:G294"/>
    <mergeCell ref="B298:E299"/>
    <mergeCell ref="H298:H299"/>
    <mergeCell ref="B253:H256"/>
    <mergeCell ref="B258:D259"/>
    <mergeCell ref="E258:H259"/>
    <mergeCell ref="B260:H260"/>
    <mergeCell ref="B290:G290"/>
    <mergeCell ref="C241:H241"/>
    <mergeCell ref="B242:G242"/>
    <mergeCell ref="B243:G243"/>
    <mergeCell ref="B244:G244"/>
    <mergeCell ref="B248:E249"/>
    <mergeCell ref="H248:H249"/>
    <mergeCell ref="B203:H206"/>
    <mergeCell ref="B208:D209"/>
    <mergeCell ref="E208:H209"/>
    <mergeCell ref="B210:H210"/>
    <mergeCell ref="B240:G240"/>
    <mergeCell ref="C191:H191"/>
    <mergeCell ref="B192:G192"/>
    <mergeCell ref="B193:G193"/>
    <mergeCell ref="B194:G194"/>
    <mergeCell ref="B198:E199"/>
    <mergeCell ref="H198:H199"/>
    <mergeCell ref="B153:H156"/>
    <mergeCell ref="B158:D159"/>
    <mergeCell ref="E158:H159"/>
    <mergeCell ref="B160:H160"/>
    <mergeCell ref="B190:G190"/>
    <mergeCell ref="C141:H141"/>
    <mergeCell ref="B142:G142"/>
    <mergeCell ref="B143:G143"/>
    <mergeCell ref="B144:G144"/>
    <mergeCell ref="B148:E149"/>
    <mergeCell ref="H148:H149"/>
    <mergeCell ref="B103:H106"/>
    <mergeCell ref="B108:D109"/>
    <mergeCell ref="E108:H109"/>
    <mergeCell ref="B110:H110"/>
    <mergeCell ref="B140:G140"/>
    <mergeCell ref="B91:G91"/>
    <mergeCell ref="B92:G92"/>
    <mergeCell ref="B93:G93"/>
    <mergeCell ref="B97:E98"/>
    <mergeCell ref="H97:H98"/>
    <mergeCell ref="B57:D58"/>
    <mergeCell ref="E57:H58"/>
    <mergeCell ref="B59:H59"/>
    <mergeCell ref="B89:G89"/>
    <mergeCell ref="C90:H90"/>
    <mergeCell ref="K2:Q4"/>
    <mergeCell ref="K6:M7"/>
    <mergeCell ref="N6:Q7"/>
    <mergeCell ref="B52:H55"/>
    <mergeCell ref="K52:Q54"/>
    <mergeCell ref="C40:H40"/>
    <mergeCell ref="B2:H5"/>
    <mergeCell ref="B7:D8"/>
    <mergeCell ref="E7:H8"/>
    <mergeCell ref="B9:H9"/>
    <mergeCell ref="B39:G39"/>
    <mergeCell ref="B41:G41"/>
    <mergeCell ref="B42:G42"/>
    <mergeCell ref="B43:G43"/>
    <mergeCell ref="B47:E48"/>
    <mergeCell ref="H47:H48"/>
  </mergeCells>
  <pageMargins left="0" right="0" top="0" bottom="0" header="0" footer="0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1:J398"/>
  <sheetViews>
    <sheetView topLeftCell="A359" workbookViewId="0">
      <selection activeCell="R368" sqref="R368"/>
    </sheetView>
  </sheetViews>
  <sheetFormatPr defaultRowHeight="14.5" x14ac:dyDescent="0.35"/>
  <sheetData>
    <row r="1" spans="2:10" ht="15" thickBot="1" x14ac:dyDescent="0.4"/>
    <row r="2" spans="2:10" ht="15.5" x14ac:dyDescent="0.35">
      <c r="B2" s="11"/>
      <c r="C2" s="27" t="s">
        <v>59</v>
      </c>
      <c r="D2" s="28"/>
      <c r="E2" s="28"/>
      <c r="F2" s="28"/>
      <c r="G2" s="28"/>
      <c r="H2" s="28"/>
      <c r="I2" s="29"/>
      <c r="J2" s="11"/>
    </row>
    <row r="3" spans="2:10" ht="15.5" x14ac:dyDescent="0.35">
      <c r="B3" s="11"/>
      <c r="C3" s="30"/>
      <c r="D3" s="31"/>
      <c r="E3" s="31"/>
      <c r="F3" s="31"/>
      <c r="G3" s="31"/>
      <c r="H3" s="31"/>
      <c r="I3" s="32"/>
      <c r="J3" s="11"/>
    </row>
    <row r="4" spans="2:10" ht="16" thickBot="1" x14ac:dyDescent="0.4">
      <c r="B4" s="11"/>
      <c r="C4" s="33"/>
      <c r="D4" s="34"/>
      <c r="E4" s="34"/>
      <c r="F4" s="34"/>
      <c r="G4" s="34"/>
      <c r="H4" s="34"/>
      <c r="I4" s="35"/>
      <c r="J4" s="11"/>
    </row>
    <row r="5" spans="2:10" ht="15" thickBot="1" x14ac:dyDescent="0.4"/>
    <row r="6" spans="2:10" ht="15" thickBot="1" x14ac:dyDescent="0.4">
      <c r="C6" s="36" t="s">
        <v>1</v>
      </c>
      <c r="D6" s="37"/>
      <c r="E6" s="38"/>
      <c r="F6" s="42" t="str">
        <f>'pharmacy and challan'!E7</f>
        <v>KABITA GOGOI(ESIC/S.H.R.C.)</v>
      </c>
      <c r="G6" s="43"/>
      <c r="H6" s="43"/>
      <c r="I6" s="43"/>
      <c r="J6" s="12"/>
    </row>
    <row r="7" spans="2:10" ht="15" thickBot="1" x14ac:dyDescent="0.4">
      <c r="C7" s="39"/>
      <c r="D7" s="40"/>
      <c r="E7" s="41"/>
      <c r="F7" s="43"/>
      <c r="G7" s="43"/>
      <c r="H7" s="43"/>
      <c r="I7" s="43"/>
      <c r="J7" s="12"/>
    </row>
    <row r="8" spans="2:10" ht="15" thickBot="1" x14ac:dyDescent="0.4"/>
    <row r="9" spans="2:10" ht="15" thickBot="1" x14ac:dyDescent="0.4">
      <c r="B9" s="10" t="s">
        <v>57</v>
      </c>
      <c r="C9" s="10" t="s">
        <v>58</v>
      </c>
      <c r="D9" s="2" t="s">
        <v>4</v>
      </c>
      <c r="E9" s="2" t="s">
        <v>5</v>
      </c>
      <c r="F9" s="3" t="s">
        <v>6</v>
      </c>
      <c r="G9" s="2" t="s">
        <v>7</v>
      </c>
      <c r="H9" s="2" t="s">
        <v>8</v>
      </c>
      <c r="I9" s="2" t="s">
        <v>60</v>
      </c>
      <c r="J9" s="2" t="s">
        <v>61</v>
      </c>
    </row>
    <row r="10" spans="2:10" ht="15" thickBot="1" x14ac:dyDescent="0.4">
      <c r="B10" s="4"/>
      <c r="C10" s="13"/>
      <c r="D10" s="14"/>
      <c r="E10" s="15"/>
      <c r="F10" s="15"/>
      <c r="G10" s="16"/>
      <c r="H10" s="14"/>
      <c r="I10" s="14"/>
      <c r="J10" s="15"/>
    </row>
    <row r="11" spans="2:10" ht="15" thickBot="1" x14ac:dyDescent="0.4">
      <c r="B11" s="4"/>
      <c r="C11" s="10"/>
      <c r="D11" s="14"/>
      <c r="E11" s="15"/>
      <c r="F11" s="15"/>
      <c r="G11" s="16"/>
      <c r="H11" s="14"/>
      <c r="I11" s="14"/>
      <c r="J11" s="15"/>
    </row>
    <row r="12" spans="2:10" ht="15" thickBot="1" x14ac:dyDescent="0.4">
      <c r="B12" s="4"/>
      <c r="C12" s="4"/>
      <c r="D12" s="14"/>
      <c r="E12" s="15"/>
      <c r="F12" s="15"/>
      <c r="G12" s="16"/>
      <c r="H12" s="14"/>
      <c r="I12" s="14"/>
      <c r="J12" s="15"/>
    </row>
    <row r="13" spans="2:10" ht="15" thickBot="1" x14ac:dyDescent="0.4">
      <c r="B13" s="4"/>
      <c r="C13" s="4"/>
      <c r="D13" s="14"/>
      <c r="E13" s="15"/>
      <c r="F13" s="15"/>
      <c r="G13" s="16"/>
      <c r="H13" s="14"/>
      <c r="I13" s="14"/>
      <c r="J13" s="15"/>
    </row>
    <row r="14" spans="2:10" ht="15" thickBot="1" x14ac:dyDescent="0.4">
      <c r="B14" s="4"/>
      <c r="C14" s="4"/>
      <c r="D14" s="14"/>
      <c r="E14" s="15"/>
      <c r="F14" s="15"/>
      <c r="G14" s="16"/>
      <c r="H14" s="14"/>
      <c r="I14" s="14"/>
      <c r="J14" s="15"/>
    </row>
    <row r="15" spans="2:10" ht="15" thickBot="1" x14ac:dyDescent="0.4">
      <c r="B15" s="4"/>
      <c r="C15" s="4"/>
      <c r="D15" s="14"/>
      <c r="E15" s="15"/>
      <c r="F15" s="15"/>
      <c r="G15" s="16"/>
      <c r="H15" s="14"/>
      <c r="I15" s="14"/>
      <c r="J15" s="15"/>
    </row>
    <row r="16" spans="2:10" ht="15" thickBot="1" x14ac:dyDescent="0.4">
      <c r="B16" s="4"/>
      <c r="C16" s="4"/>
      <c r="D16" s="14"/>
      <c r="E16" s="15"/>
      <c r="F16" s="15"/>
      <c r="G16" s="16"/>
      <c r="H16" s="14"/>
      <c r="I16" s="14"/>
      <c r="J16" s="15"/>
    </row>
    <row r="17" spans="2:10" ht="15" thickBot="1" x14ac:dyDescent="0.4">
      <c r="B17" s="4"/>
      <c r="C17" s="4"/>
      <c r="D17" s="14"/>
      <c r="E17" s="15"/>
      <c r="F17" s="15"/>
      <c r="G17" s="16"/>
      <c r="H17" s="14"/>
      <c r="I17" s="14"/>
      <c r="J17" s="15"/>
    </row>
    <row r="18" spans="2:10" ht="15" thickBot="1" x14ac:dyDescent="0.4">
      <c r="B18" s="4"/>
      <c r="C18" s="4"/>
      <c r="D18" s="14"/>
      <c r="E18" s="15"/>
      <c r="F18" s="15"/>
      <c r="G18" s="16"/>
      <c r="H18" s="14"/>
      <c r="I18" s="14"/>
      <c r="J18" s="15"/>
    </row>
    <row r="19" spans="2:10" ht="15" thickBot="1" x14ac:dyDescent="0.4">
      <c r="B19" s="4"/>
      <c r="C19" s="4"/>
      <c r="D19" s="14"/>
      <c r="E19" s="15"/>
      <c r="F19" s="15"/>
      <c r="G19" s="16"/>
      <c r="H19" s="14"/>
      <c r="I19" s="14"/>
      <c r="J19" s="15"/>
    </row>
    <row r="20" spans="2:10" ht="15" thickBot="1" x14ac:dyDescent="0.4">
      <c r="B20" s="4"/>
      <c r="C20" s="4"/>
      <c r="D20" s="14"/>
      <c r="E20" s="15"/>
      <c r="F20" s="15"/>
      <c r="G20" s="16"/>
      <c r="H20" s="14"/>
      <c r="I20" s="14"/>
      <c r="J20" s="15"/>
    </row>
    <row r="21" spans="2:10" ht="15" thickBot="1" x14ac:dyDescent="0.4">
      <c r="B21" s="4"/>
      <c r="C21" s="4"/>
      <c r="D21" s="17"/>
      <c r="E21" s="20"/>
      <c r="F21" s="20"/>
      <c r="G21" s="20"/>
      <c r="H21" s="20"/>
      <c r="I21" s="20"/>
      <c r="J21" s="17"/>
    </row>
    <row r="22" spans="2:10" ht="15" thickBot="1" x14ac:dyDescent="0.4">
      <c r="B22" s="4"/>
      <c r="C22" s="4"/>
      <c r="D22" s="4"/>
      <c r="E22" s="5"/>
      <c r="F22" s="5"/>
      <c r="G22" s="6"/>
      <c r="H22" s="4"/>
      <c r="I22" s="4"/>
      <c r="J22" s="4"/>
    </row>
    <row r="23" spans="2:10" ht="15" thickBot="1" x14ac:dyDescent="0.4">
      <c r="B23" s="4"/>
      <c r="C23" s="4"/>
      <c r="D23" s="4"/>
      <c r="E23" s="5"/>
      <c r="F23" s="5"/>
      <c r="G23" s="6"/>
      <c r="H23" s="4"/>
      <c r="I23" s="4"/>
      <c r="J23" s="4"/>
    </row>
    <row r="24" spans="2:10" ht="15" thickBot="1" x14ac:dyDescent="0.4">
      <c r="B24" s="4"/>
      <c r="C24" s="4"/>
      <c r="D24" s="4"/>
      <c r="E24" s="5"/>
      <c r="F24" s="5"/>
      <c r="G24" s="6"/>
      <c r="H24" s="4"/>
      <c r="I24" s="4"/>
      <c r="J24" s="4"/>
    </row>
    <row r="25" spans="2:10" ht="15" thickBot="1" x14ac:dyDescent="0.4">
      <c r="B25" s="4"/>
      <c r="C25" s="4"/>
      <c r="D25" s="4"/>
      <c r="E25" s="5"/>
      <c r="F25" s="5"/>
      <c r="G25" s="6"/>
      <c r="H25" s="4"/>
      <c r="I25" s="4"/>
      <c r="J25" s="4"/>
    </row>
    <row r="26" spans="2:10" ht="15" thickBot="1" x14ac:dyDescent="0.4">
      <c r="B26" s="4"/>
      <c r="C26" s="4"/>
      <c r="D26" s="4"/>
      <c r="E26" s="5"/>
      <c r="F26" s="5"/>
      <c r="G26" s="6"/>
      <c r="H26" s="4"/>
      <c r="I26" s="4"/>
      <c r="J26" s="4"/>
    </row>
    <row r="27" spans="2:10" ht="15" thickBot="1" x14ac:dyDescent="0.4">
      <c r="B27" s="4"/>
      <c r="C27" s="4"/>
      <c r="D27" s="4"/>
      <c r="E27" s="5"/>
      <c r="F27" s="5"/>
      <c r="G27" s="6"/>
      <c r="H27" s="4"/>
      <c r="I27" s="4"/>
      <c r="J27" s="4"/>
    </row>
    <row r="28" spans="2:10" ht="15" thickBot="1" x14ac:dyDescent="0.4">
      <c r="B28" s="4"/>
      <c r="C28" s="4"/>
      <c r="D28" s="4"/>
      <c r="E28" s="5"/>
      <c r="F28" s="5"/>
      <c r="G28" s="6"/>
      <c r="H28" s="4"/>
      <c r="I28" s="4"/>
      <c r="J28" s="4"/>
    </row>
    <row r="29" spans="2:10" ht="15" thickBot="1" x14ac:dyDescent="0.4">
      <c r="B29" s="4"/>
      <c r="C29" s="4"/>
      <c r="D29" s="4"/>
      <c r="E29" s="5"/>
      <c r="F29" s="5"/>
      <c r="G29" s="6"/>
      <c r="H29" s="4"/>
      <c r="I29" s="4"/>
      <c r="J29" s="4"/>
    </row>
    <row r="30" spans="2:10" ht="15" thickBot="1" x14ac:dyDescent="0.4">
      <c r="B30" s="4"/>
      <c r="C30" s="4"/>
      <c r="D30" s="7"/>
      <c r="E30" s="8"/>
      <c r="F30" s="8"/>
      <c r="G30" s="8"/>
      <c r="H30" s="8"/>
      <c r="I30" s="3"/>
      <c r="J30" s="9"/>
    </row>
    <row r="31" spans="2:10" ht="15" thickBot="1" x14ac:dyDescent="0.4">
      <c r="B31" s="4"/>
      <c r="C31" s="4"/>
      <c r="D31" s="7"/>
      <c r="E31" s="8"/>
      <c r="F31" s="8"/>
      <c r="G31" s="8"/>
      <c r="H31" s="8"/>
      <c r="I31" s="8"/>
      <c r="J31" s="4"/>
    </row>
    <row r="32" spans="2:10" ht="15" thickBot="1" x14ac:dyDescent="0.4">
      <c r="B32" s="4"/>
      <c r="C32" s="4"/>
      <c r="D32" s="7"/>
      <c r="E32" s="8"/>
      <c r="F32" s="8"/>
      <c r="G32" s="8"/>
      <c r="H32" s="8"/>
      <c r="I32" s="8"/>
      <c r="J32" s="4"/>
    </row>
    <row r="33" spans="2:10" ht="15" thickBot="1" x14ac:dyDescent="0.4">
      <c r="B33" s="4"/>
      <c r="C33" s="4"/>
      <c r="D33" s="7"/>
      <c r="E33" s="8"/>
      <c r="F33" s="8"/>
      <c r="G33" s="8"/>
      <c r="H33" s="8"/>
      <c r="I33" s="8"/>
      <c r="J33" s="4"/>
    </row>
    <row r="34" spans="2:10" ht="15" thickBot="1" x14ac:dyDescent="0.4">
      <c r="B34" s="4"/>
      <c r="C34" s="4"/>
      <c r="D34" s="7"/>
      <c r="E34" s="8"/>
      <c r="F34" s="8"/>
      <c r="G34" s="8"/>
      <c r="H34" s="8"/>
      <c r="I34" s="8"/>
      <c r="J34" s="4"/>
    </row>
    <row r="35" spans="2:10" ht="15" thickBot="1" x14ac:dyDescent="0.4">
      <c r="B35" s="4"/>
      <c r="C35" s="4"/>
      <c r="D35" s="18"/>
      <c r="E35" s="18"/>
      <c r="F35" s="18"/>
      <c r="G35" s="18"/>
      <c r="H35" s="18"/>
      <c r="I35" s="18"/>
      <c r="J35" s="18"/>
    </row>
    <row r="36" spans="2:10" ht="15" thickBot="1" x14ac:dyDescent="0.4">
      <c r="B36" s="4"/>
      <c r="C36" s="4"/>
      <c r="D36" s="18"/>
      <c r="E36" s="18"/>
      <c r="F36" s="18"/>
      <c r="G36" s="18"/>
      <c r="H36" s="18"/>
      <c r="I36" s="18"/>
      <c r="J36" s="18"/>
    </row>
    <row r="37" spans="2:10" ht="15" thickBot="1" x14ac:dyDescent="0.4">
      <c r="B37" s="4"/>
      <c r="C37" s="4"/>
      <c r="D37" s="18"/>
      <c r="E37" s="18"/>
      <c r="F37" s="18"/>
      <c r="G37" s="18"/>
      <c r="H37" s="18"/>
      <c r="I37" s="18"/>
      <c r="J37" s="18"/>
    </row>
    <row r="38" spans="2:10" ht="15" thickBot="1" x14ac:dyDescent="0.4">
      <c r="B38" s="4"/>
      <c r="C38" s="4"/>
      <c r="D38" s="18"/>
      <c r="E38" s="18"/>
      <c r="F38" s="18"/>
      <c r="G38" s="18"/>
      <c r="H38" s="18"/>
      <c r="I38" s="18"/>
      <c r="J38" s="18"/>
    </row>
    <row r="39" spans="2:10" ht="15" thickBot="1" x14ac:dyDescent="0.4">
      <c r="B39" s="4"/>
      <c r="C39" s="4"/>
      <c r="D39" s="18"/>
      <c r="E39" s="18"/>
      <c r="F39" s="18"/>
      <c r="G39" s="18"/>
      <c r="H39" s="18"/>
      <c r="I39" s="18"/>
      <c r="J39" s="18"/>
    </row>
    <row r="40" spans="2:10" ht="15" thickBot="1" x14ac:dyDescent="0.4">
      <c r="B40" s="4"/>
      <c r="C40" s="4"/>
      <c r="D40" s="4"/>
      <c r="E40" s="4"/>
      <c r="F40" s="4"/>
      <c r="G40" s="4"/>
      <c r="H40" s="4"/>
      <c r="I40" s="4"/>
      <c r="J40" s="4"/>
    </row>
    <row r="41" spans="2:10" ht="15" thickBot="1" x14ac:dyDescent="0.4">
      <c r="B41" s="4"/>
      <c r="C41" s="4"/>
      <c r="D41" s="4"/>
      <c r="E41" s="4"/>
      <c r="F41" s="4"/>
      <c r="G41" s="4"/>
      <c r="H41" s="4"/>
      <c r="I41" s="4"/>
      <c r="J41" s="4"/>
    </row>
    <row r="42" spans="2:10" ht="15" thickBot="1" x14ac:dyDescent="0.4">
      <c r="B42" s="4"/>
      <c r="C42" s="4"/>
      <c r="D42" s="4"/>
      <c r="E42" s="4"/>
      <c r="F42" s="4"/>
      <c r="G42" s="4"/>
      <c r="H42" s="4"/>
      <c r="I42" s="4"/>
      <c r="J42" s="4"/>
    </row>
    <row r="43" spans="2:10" ht="15" thickBot="1" x14ac:dyDescent="0.4">
      <c r="B43" s="4"/>
      <c r="C43" s="4"/>
      <c r="D43" s="19"/>
      <c r="E43" s="10"/>
      <c r="F43" s="10"/>
      <c r="G43" s="10"/>
      <c r="H43" s="4"/>
      <c r="I43" s="4"/>
      <c r="J43" s="18"/>
    </row>
    <row r="44" spans="2:10" ht="15" thickBot="1" x14ac:dyDescent="0.4">
      <c r="B44" s="4"/>
      <c r="C44" s="4"/>
      <c r="D44" s="10"/>
      <c r="E44" s="10"/>
      <c r="F44" s="10"/>
      <c r="G44" s="10"/>
      <c r="H44" s="4"/>
      <c r="I44" s="4"/>
      <c r="J44" s="18"/>
    </row>
    <row r="45" spans="2:10" ht="15" thickBot="1" x14ac:dyDescent="0.4">
      <c r="B45" s="4"/>
      <c r="C45" s="4"/>
      <c r="D45" s="4"/>
      <c r="E45" s="4"/>
      <c r="F45" s="4"/>
      <c r="G45" s="4"/>
      <c r="H45" s="4"/>
      <c r="I45" s="4"/>
      <c r="J45" s="4"/>
    </row>
    <row r="46" spans="2:10" ht="15" thickBot="1" x14ac:dyDescent="0.4">
      <c r="B46" s="4"/>
      <c r="C46" s="4"/>
      <c r="D46" s="4"/>
      <c r="E46" s="4"/>
      <c r="F46" s="4"/>
      <c r="G46" s="4"/>
      <c r="H46" s="4"/>
      <c r="I46" s="4"/>
      <c r="J46" s="4"/>
    </row>
    <row r="47" spans="2:10" ht="15" thickBot="1" x14ac:dyDescent="0.4">
      <c r="B47" s="4"/>
      <c r="C47" s="4"/>
      <c r="D47" s="4"/>
      <c r="E47" s="4"/>
      <c r="F47" s="4"/>
      <c r="G47" s="4"/>
      <c r="H47" s="4"/>
      <c r="I47" s="4"/>
      <c r="J47" s="4"/>
    </row>
    <row r="51" spans="2:10" ht="15" thickBot="1" x14ac:dyDescent="0.4"/>
    <row r="52" spans="2:10" ht="15.5" x14ac:dyDescent="0.35">
      <c r="B52" s="11"/>
      <c r="C52" s="27" t="s">
        <v>59</v>
      </c>
      <c r="D52" s="28"/>
      <c r="E52" s="28"/>
      <c r="F52" s="28"/>
      <c r="G52" s="28"/>
      <c r="H52" s="28"/>
      <c r="I52" s="29"/>
      <c r="J52" s="11"/>
    </row>
    <row r="53" spans="2:10" ht="15.5" x14ac:dyDescent="0.35">
      <c r="B53" s="11"/>
      <c r="C53" s="30"/>
      <c r="D53" s="31"/>
      <c r="E53" s="31"/>
      <c r="F53" s="31"/>
      <c r="G53" s="31"/>
      <c r="H53" s="31"/>
      <c r="I53" s="32"/>
      <c r="J53" s="11"/>
    </row>
    <row r="54" spans="2:10" ht="16" thickBot="1" x14ac:dyDescent="0.4">
      <c r="B54" s="11"/>
      <c r="C54" s="33"/>
      <c r="D54" s="34"/>
      <c r="E54" s="34"/>
      <c r="F54" s="34"/>
      <c r="G54" s="34"/>
      <c r="H54" s="34"/>
      <c r="I54" s="35"/>
      <c r="J54" s="11"/>
    </row>
    <row r="55" spans="2:10" ht="15" thickBot="1" x14ac:dyDescent="0.4"/>
    <row r="56" spans="2:10" ht="15" thickBot="1" x14ac:dyDescent="0.4">
      <c r="C56" s="36" t="s">
        <v>1</v>
      </c>
      <c r="D56" s="37"/>
      <c r="E56" s="38"/>
      <c r="F56" s="42" t="str">
        <f>'pharmacy and challan'!E7</f>
        <v>KABITA GOGOI(ESIC/S.H.R.C.)</v>
      </c>
      <c r="G56" s="43"/>
      <c r="H56" s="43"/>
      <c r="I56" s="43"/>
      <c r="J56" s="12"/>
    </row>
    <row r="57" spans="2:10" ht="15" thickBot="1" x14ac:dyDescent="0.4">
      <c r="C57" s="39"/>
      <c r="D57" s="40"/>
      <c r="E57" s="41"/>
      <c r="F57" s="43"/>
      <c r="G57" s="43"/>
      <c r="H57" s="43"/>
      <c r="I57" s="43"/>
      <c r="J57" s="12"/>
    </row>
    <row r="58" spans="2:10" ht="15" thickBot="1" x14ac:dyDescent="0.4"/>
    <row r="59" spans="2:10" ht="15" thickBot="1" x14ac:dyDescent="0.4">
      <c r="B59" s="10" t="s">
        <v>57</v>
      </c>
      <c r="C59" s="10" t="s">
        <v>58</v>
      </c>
      <c r="D59" s="2" t="s">
        <v>4</v>
      </c>
      <c r="E59" s="2" t="s">
        <v>5</v>
      </c>
      <c r="F59" s="3" t="s">
        <v>6</v>
      </c>
      <c r="G59" s="2" t="s">
        <v>7</v>
      </c>
      <c r="H59" s="2" t="s">
        <v>8</v>
      </c>
      <c r="I59" s="2" t="s">
        <v>60</v>
      </c>
      <c r="J59" s="2" t="s">
        <v>61</v>
      </c>
    </row>
    <row r="60" spans="2:10" ht="15" thickBot="1" x14ac:dyDescent="0.4">
      <c r="B60" s="4"/>
      <c r="C60" s="13"/>
      <c r="D60" s="14"/>
      <c r="E60" s="15"/>
      <c r="F60" s="15"/>
      <c r="G60" s="16"/>
      <c r="H60" s="14"/>
      <c r="I60" s="14"/>
      <c r="J60" s="15"/>
    </row>
    <row r="61" spans="2:10" ht="15" thickBot="1" x14ac:dyDescent="0.4">
      <c r="B61" s="4"/>
      <c r="C61" s="10"/>
      <c r="D61" s="14"/>
      <c r="E61" s="15"/>
      <c r="F61" s="15"/>
      <c r="G61" s="16"/>
      <c r="H61" s="14"/>
      <c r="I61" s="14"/>
      <c r="J61" s="15"/>
    </row>
    <row r="62" spans="2:10" ht="15" thickBot="1" x14ac:dyDescent="0.4">
      <c r="B62" s="4"/>
      <c r="C62" s="4"/>
      <c r="D62" s="14"/>
      <c r="E62" s="15"/>
      <c r="F62" s="15"/>
      <c r="G62" s="16"/>
      <c r="H62" s="14"/>
      <c r="I62" s="14"/>
      <c r="J62" s="15"/>
    </row>
    <row r="63" spans="2:10" ht="15" thickBot="1" x14ac:dyDescent="0.4">
      <c r="B63" s="4"/>
      <c r="C63" s="4"/>
      <c r="D63" s="14"/>
      <c r="E63" s="15"/>
      <c r="F63" s="15"/>
      <c r="G63" s="16"/>
      <c r="H63" s="14"/>
      <c r="I63" s="14"/>
      <c r="J63" s="15"/>
    </row>
    <row r="64" spans="2:10" ht="15" thickBot="1" x14ac:dyDescent="0.4">
      <c r="B64" s="4"/>
      <c r="C64" s="4"/>
      <c r="D64" s="14"/>
      <c r="E64" s="15"/>
      <c r="F64" s="15"/>
      <c r="G64" s="16"/>
      <c r="H64" s="14"/>
      <c r="I64" s="14"/>
      <c r="J64" s="15"/>
    </row>
    <row r="65" spans="2:10" ht="15" thickBot="1" x14ac:dyDescent="0.4">
      <c r="B65" s="4"/>
      <c r="C65" s="4"/>
      <c r="D65" s="14"/>
      <c r="E65" s="15"/>
      <c r="F65" s="15"/>
      <c r="G65" s="16"/>
      <c r="H65" s="14"/>
      <c r="I65" s="14"/>
      <c r="J65" s="15"/>
    </row>
    <row r="66" spans="2:10" ht="15" thickBot="1" x14ac:dyDescent="0.4">
      <c r="B66" s="4"/>
      <c r="C66" s="4"/>
      <c r="D66" s="14"/>
      <c r="E66" s="15"/>
      <c r="F66" s="15"/>
      <c r="G66" s="16"/>
      <c r="H66" s="14"/>
      <c r="I66" s="14"/>
      <c r="J66" s="15"/>
    </row>
    <row r="67" spans="2:10" ht="15" thickBot="1" x14ac:dyDescent="0.4">
      <c r="B67" s="4"/>
      <c r="C67" s="4"/>
      <c r="D67" s="14"/>
      <c r="E67" s="15"/>
      <c r="F67" s="15"/>
      <c r="G67" s="16"/>
      <c r="H67" s="14"/>
      <c r="I67" s="14"/>
      <c r="J67" s="15"/>
    </row>
    <row r="68" spans="2:10" ht="15" thickBot="1" x14ac:dyDescent="0.4">
      <c r="B68" s="4"/>
      <c r="C68" s="4"/>
      <c r="D68" s="14"/>
      <c r="E68" s="15"/>
      <c r="F68" s="15"/>
      <c r="G68" s="16"/>
      <c r="H68" s="14"/>
      <c r="I68" s="14"/>
      <c r="J68" s="15"/>
    </row>
    <row r="69" spans="2:10" ht="15" thickBot="1" x14ac:dyDescent="0.4">
      <c r="B69" s="4"/>
      <c r="C69" s="4"/>
      <c r="D69" s="14"/>
      <c r="E69" s="15"/>
      <c r="F69" s="15"/>
      <c r="G69" s="16"/>
      <c r="H69" s="14"/>
      <c r="I69" s="14"/>
      <c r="J69" s="15"/>
    </row>
    <row r="70" spans="2:10" ht="15" thickBot="1" x14ac:dyDescent="0.4">
      <c r="B70" s="4"/>
      <c r="C70" s="4"/>
      <c r="D70" s="14"/>
      <c r="E70" s="15"/>
      <c r="F70" s="15"/>
      <c r="G70" s="16"/>
      <c r="H70" s="14"/>
      <c r="I70" s="14"/>
      <c r="J70" s="15"/>
    </row>
    <row r="71" spans="2:10" ht="15" thickBot="1" x14ac:dyDescent="0.4">
      <c r="B71" s="4"/>
      <c r="C71" s="4"/>
      <c r="D71" s="17"/>
      <c r="E71" s="20"/>
      <c r="F71" s="20"/>
      <c r="G71" s="20"/>
      <c r="H71" s="20"/>
      <c r="I71" s="20"/>
      <c r="J71" s="17"/>
    </row>
    <row r="72" spans="2:10" ht="15" thickBot="1" x14ac:dyDescent="0.4">
      <c r="B72" s="4"/>
      <c r="C72" s="4"/>
      <c r="D72" s="4"/>
      <c r="E72" s="5"/>
      <c r="F72" s="5"/>
      <c r="G72" s="6"/>
      <c r="H72" s="4"/>
      <c r="I72" s="4"/>
      <c r="J72" s="4"/>
    </row>
    <row r="73" spans="2:10" ht="15" thickBot="1" x14ac:dyDescent="0.4">
      <c r="B73" s="4"/>
      <c r="C73" s="4"/>
      <c r="D73" s="4"/>
      <c r="E73" s="5"/>
      <c r="F73" s="5"/>
      <c r="G73" s="6"/>
      <c r="H73" s="4"/>
      <c r="I73" s="4"/>
      <c r="J73" s="4"/>
    </row>
    <row r="74" spans="2:10" ht="15" thickBot="1" x14ac:dyDescent="0.4">
      <c r="B74" s="4"/>
      <c r="C74" s="4"/>
      <c r="D74" s="4"/>
      <c r="E74" s="5"/>
      <c r="F74" s="5"/>
      <c r="G74" s="6"/>
      <c r="H74" s="4"/>
      <c r="I74" s="4"/>
      <c r="J74" s="4"/>
    </row>
    <row r="75" spans="2:10" ht="15" thickBot="1" x14ac:dyDescent="0.4">
      <c r="B75" s="4"/>
      <c r="C75" s="4"/>
      <c r="D75" s="4"/>
      <c r="E75" s="5"/>
      <c r="F75" s="5"/>
      <c r="G75" s="6"/>
      <c r="H75" s="4"/>
      <c r="I75" s="4"/>
      <c r="J75" s="4"/>
    </row>
    <row r="76" spans="2:10" ht="15" thickBot="1" x14ac:dyDescent="0.4">
      <c r="B76" s="4"/>
      <c r="C76" s="4"/>
      <c r="D76" s="4"/>
      <c r="E76" s="5"/>
      <c r="F76" s="5"/>
      <c r="G76" s="6"/>
      <c r="H76" s="4"/>
      <c r="I76" s="4"/>
      <c r="J76" s="4"/>
    </row>
    <row r="77" spans="2:10" ht="15" thickBot="1" x14ac:dyDescent="0.4">
      <c r="B77" s="4"/>
      <c r="C77" s="4"/>
      <c r="D77" s="4"/>
      <c r="E77" s="5"/>
      <c r="F77" s="5"/>
      <c r="G77" s="6"/>
      <c r="H77" s="4"/>
      <c r="I77" s="4"/>
      <c r="J77" s="4"/>
    </row>
    <row r="78" spans="2:10" ht="15" thickBot="1" x14ac:dyDescent="0.4">
      <c r="B78" s="4"/>
      <c r="C78" s="4"/>
      <c r="D78" s="4"/>
      <c r="E78" s="5"/>
      <c r="F78" s="5"/>
      <c r="G78" s="6"/>
      <c r="H78" s="4"/>
      <c r="I78" s="4"/>
      <c r="J78" s="4"/>
    </row>
    <row r="79" spans="2:10" ht="15" thickBot="1" x14ac:dyDescent="0.4">
      <c r="B79" s="4"/>
      <c r="C79" s="4"/>
      <c r="D79" s="4"/>
      <c r="E79" s="5"/>
      <c r="F79" s="5"/>
      <c r="G79" s="6"/>
      <c r="H79" s="4"/>
      <c r="I79" s="4"/>
      <c r="J79" s="4"/>
    </row>
    <row r="80" spans="2:10" ht="15" thickBot="1" x14ac:dyDescent="0.4">
      <c r="B80" s="4"/>
      <c r="C80" s="4"/>
      <c r="D80" s="7"/>
      <c r="E80" s="8"/>
      <c r="F80" s="8"/>
      <c r="G80" s="8"/>
      <c r="H80" s="8"/>
      <c r="I80" s="3"/>
      <c r="J80" s="9"/>
    </row>
    <row r="81" spans="2:10" ht="15" thickBot="1" x14ac:dyDescent="0.4">
      <c r="B81" s="4"/>
      <c r="C81" s="4"/>
      <c r="D81" s="7"/>
      <c r="E81" s="8"/>
      <c r="F81" s="8"/>
      <c r="G81" s="8"/>
      <c r="H81" s="8"/>
      <c r="I81" s="8"/>
      <c r="J81" s="4"/>
    </row>
    <row r="82" spans="2:10" ht="15" thickBot="1" x14ac:dyDescent="0.4">
      <c r="B82" s="4"/>
      <c r="C82" s="4"/>
      <c r="D82" s="7"/>
      <c r="E82" s="8"/>
      <c r="F82" s="8"/>
      <c r="G82" s="8"/>
      <c r="H82" s="8"/>
      <c r="I82" s="8"/>
      <c r="J82" s="4"/>
    </row>
    <row r="83" spans="2:10" ht="15" thickBot="1" x14ac:dyDescent="0.4">
      <c r="B83" s="4"/>
      <c r="C83" s="4"/>
      <c r="D83" s="7"/>
      <c r="E83" s="8"/>
      <c r="F83" s="8"/>
      <c r="G83" s="8"/>
      <c r="H83" s="8"/>
      <c r="I83" s="8"/>
      <c r="J83" s="4"/>
    </row>
    <row r="84" spans="2:10" ht="15" thickBot="1" x14ac:dyDescent="0.4">
      <c r="B84" s="4"/>
      <c r="C84" s="4"/>
      <c r="D84" s="7"/>
      <c r="E84" s="8"/>
      <c r="F84" s="8"/>
      <c r="G84" s="8"/>
      <c r="H84" s="8"/>
      <c r="I84" s="8"/>
      <c r="J84" s="4"/>
    </row>
    <row r="85" spans="2:10" ht="15" thickBot="1" x14ac:dyDescent="0.4">
      <c r="B85" s="4"/>
      <c r="C85" s="4"/>
      <c r="D85" s="18"/>
      <c r="E85" s="18"/>
      <c r="F85" s="18"/>
      <c r="G85" s="18"/>
      <c r="H85" s="18"/>
      <c r="I85" s="18"/>
      <c r="J85" s="18"/>
    </row>
    <row r="86" spans="2:10" ht="15" thickBot="1" x14ac:dyDescent="0.4">
      <c r="B86" s="4"/>
      <c r="C86" s="4"/>
      <c r="D86" s="18"/>
      <c r="E86" s="18"/>
      <c r="F86" s="18"/>
      <c r="G86" s="18"/>
      <c r="H86" s="18"/>
      <c r="I86" s="18"/>
      <c r="J86" s="18"/>
    </row>
    <row r="87" spans="2:10" ht="15" thickBot="1" x14ac:dyDescent="0.4">
      <c r="B87" s="4"/>
      <c r="C87" s="4"/>
      <c r="D87" s="18"/>
      <c r="E87" s="18"/>
      <c r="F87" s="18"/>
      <c r="G87" s="18"/>
      <c r="H87" s="18"/>
      <c r="I87" s="18"/>
      <c r="J87" s="18"/>
    </row>
    <row r="88" spans="2:10" ht="15" thickBot="1" x14ac:dyDescent="0.4">
      <c r="B88" s="4"/>
      <c r="C88" s="4"/>
      <c r="D88" s="18"/>
      <c r="E88" s="18"/>
      <c r="F88" s="18"/>
      <c r="G88" s="18"/>
      <c r="H88" s="18"/>
      <c r="I88" s="18"/>
      <c r="J88" s="18"/>
    </row>
    <row r="89" spans="2:10" ht="15" thickBot="1" x14ac:dyDescent="0.4">
      <c r="B89" s="4"/>
      <c r="C89" s="4"/>
      <c r="D89" s="18"/>
      <c r="E89" s="18"/>
      <c r="F89" s="18"/>
      <c r="G89" s="18"/>
      <c r="H89" s="18"/>
      <c r="I89" s="18"/>
      <c r="J89" s="18"/>
    </row>
    <row r="90" spans="2:10" ht="15" thickBot="1" x14ac:dyDescent="0.4">
      <c r="B90" s="4"/>
      <c r="C90" s="4"/>
      <c r="D90" s="4"/>
      <c r="E90" s="4"/>
      <c r="F90" s="4"/>
      <c r="G90" s="4"/>
      <c r="H90" s="4"/>
      <c r="I90" s="4"/>
      <c r="J90" s="4"/>
    </row>
    <row r="91" spans="2:10" ht="15" thickBot="1" x14ac:dyDescent="0.4">
      <c r="B91" s="4"/>
      <c r="C91" s="4"/>
      <c r="D91" s="4"/>
      <c r="E91" s="4"/>
      <c r="F91" s="4"/>
      <c r="G91" s="4"/>
      <c r="H91" s="4"/>
      <c r="I91" s="4"/>
      <c r="J91" s="4"/>
    </row>
    <row r="92" spans="2:10" ht="15" thickBot="1" x14ac:dyDescent="0.4">
      <c r="B92" s="4"/>
      <c r="C92" s="4"/>
      <c r="D92" s="4"/>
      <c r="E92" s="4"/>
      <c r="F92" s="4"/>
      <c r="G92" s="4"/>
      <c r="H92" s="4"/>
      <c r="I92" s="4"/>
      <c r="J92" s="4"/>
    </row>
    <row r="93" spans="2:10" ht="15" thickBot="1" x14ac:dyDescent="0.4">
      <c r="B93" s="4"/>
      <c r="C93" s="4"/>
      <c r="D93" s="19"/>
      <c r="E93" s="10"/>
      <c r="F93" s="10"/>
      <c r="G93" s="10"/>
      <c r="H93" s="4"/>
      <c r="I93" s="4"/>
      <c r="J93" s="18"/>
    </row>
    <row r="94" spans="2:10" ht="15" thickBot="1" x14ac:dyDescent="0.4">
      <c r="B94" s="4"/>
      <c r="C94" s="4"/>
      <c r="D94" s="10"/>
      <c r="E94" s="10"/>
      <c r="F94" s="10"/>
      <c r="G94" s="10"/>
      <c r="H94" s="4"/>
      <c r="I94" s="4"/>
      <c r="J94" s="18"/>
    </row>
    <row r="95" spans="2:10" ht="15" thickBot="1" x14ac:dyDescent="0.4">
      <c r="B95" s="4"/>
      <c r="C95" s="4"/>
      <c r="D95" s="4"/>
      <c r="E95" s="4"/>
      <c r="F95" s="4"/>
      <c r="G95" s="4"/>
      <c r="H95" s="4"/>
      <c r="I95" s="4"/>
      <c r="J95" s="4"/>
    </row>
    <row r="96" spans="2:10" ht="15" thickBot="1" x14ac:dyDescent="0.4">
      <c r="B96" s="4"/>
      <c r="C96" s="4"/>
      <c r="D96" s="4"/>
      <c r="E96" s="4"/>
      <c r="F96" s="4"/>
      <c r="G96" s="4"/>
      <c r="H96" s="4"/>
      <c r="I96" s="4"/>
      <c r="J96" s="4"/>
    </row>
    <row r="97" spans="2:10" ht="15" thickBot="1" x14ac:dyDescent="0.4">
      <c r="B97" s="4"/>
      <c r="C97" s="4"/>
      <c r="D97" s="4"/>
      <c r="E97" s="4"/>
      <c r="F97" s="4"/>
      <c r="G97" s="4"/>
      <c r="H97" s="4"/>
      <c r="I97" s="4"/>
      <c r="J97" s="4"/>
    </row>
    <row r="102" spans="2:10" ht="15" thickBot="1" x14ac:dyDescent="0.4"/>
    <row r="103" spans="2:10" ht="15.5" x14ac:dyDescent="0.35">
      <c r="B103" s="11"/>
      <c r="C103" s="27" t="s">
        <v>59</v>
      </c>
      <c r="D103" s="28"/>
      <c r="E103" s="28"/>
      <c r="F103" s="28"/>
      <c r="G103" s="28"/>
      <c r="H103" s="28"/>
      <c r="I103" s="29"/>
      <c r="J103" s="11"/>
    </row>
    <row r="104" spans="2:10" ht="15.5" x14ac:dyDescent="0.35">
      <c r="B104" s="11"/>
      <c r="C104" s="30"/>
      <c r="D104" s="31"/>
      <c r="E104" s="31"/>
      <c r="F104" s="31"/>
      <c r="G104" s="31"/>
      <c r="H104" s="31"/>
      <c r="I104" s="32"/>
      <c r="J104" s="11"/>
    </row>
    <row r="105" spans="2:10" ht="16" thickBot="1" x14ac:dyDescent="0.4">
      <c r="B105" s="11"/>
      <c r="C105" s="33"/>
      <c r="D105" s="34"/>
      <c r="E105" s="34"/>
      <c r="F105" s="34"/>
      <c r="G105" s="34"/>
      <c r="H105" s="34"/>
      <c r="I105" s="35"/>
      <c r="J105" s="11"/>
    </row>
    <row r="106" spans="2:10" ht="15" thickBot="1" x14ac:dyDescent="0.4"/>
    <row r="107" spans="2:10" ht="15" thickBot="1" x14ac:dyDescent="0.4">
      <c r="C107" s="36" t="s">
        <v>1</v>
      </c>
      <c r="D107" s="37"/>
      <c r="E107" s="38"/>
      <c r="F107" s="42" t="str">
        <f>'pharmacy and challan'!E7</f>
        <v>KABITA GOGOI(ESIC/S.H.R.C.)</v>
      </c>
      <c r="G107" s="43"/>
      <c r="H107" s="43"/>
      <c r="I107" s="43"/>
      <c r="J107" s="12"/>
    </row>
    <row r="108" spans="2:10" ht="15" thickBot="1" x14ac:dyDescent="0.4">
      <c r="C108" s="39"/>
      <c r="D108" s="40"/>
      <c r="E108" s="41"/>
      <c r="F108" s="43"/>
      <c r="G108" s="43"/>
      <c r="H108" s="43"/>
      <c r="I108" s="43"/>
      <c r="J108" s="12"/>
    </row>
    <row r="109" spans="2:10" ht="15" thickBot="1" x14ac:dyDescent="0.4"/>
    <row r="110" spans="2:10" ht="15" thickBot="1" x14ac:dyDescent="0.4">
      <c r="B110" s="10" t="s">
        <v>57</v>
      </c>
      <c r="C110" s="10" t="s">
        <v>58</v>
      </c>
      <c r="D110" s="2" t="s">
        <v>4</v>
      </c>
      <c r="E110" s="2" t="s">
        <v>5</v>
      </c>
      <c r="F110" s="3" t="s">
        <v>6</v>
      </c>
      <c r="G110" s="2" t="s">
        <v>7</v>
      </c>
      <c r="H110" s="2" t="s">
        <v>8</v>
      </c>
      <c r="I110" s="2" t="s">
        <v>60</v>
      </c>
      <c r="J110" s="2" t="s">
        <v>61</v>
      </c>
    </row>
    <row r="111" spans="2:10" ht="15" thickBot="1" x14ac:dyDescent="0.4">
      <c r="B111" s="4"/>
      <c r="C111" s="13"/>
      <c r="D111" s="14"/>
      <c r="E111" s="15"/>
      <c r="F111" s="15"/>
      <c r="G111" s="16"/>
      <c r="H111" s="14"/>
      <c r="I111" s="14"/>
      <c r="J111" s="15"/>
    </row>
    <row r="112" spans="2:10" ht="15" thickBot="1" x14ac:dyDescent="0.4">
      <c r="B112" s="4"/>
      <c r="C112" s="10"/>
      <c r="D112" s="14"/>
      <c r="E112" s="15"/>
      <c r="F112" s="15"/>
      <c r="G112" s="16"/>
      <c r="H112" s="14"/>
      <c r="I112" s="14"/>
      <c r="J112" s="15"/>
    </row>
    <row r="113" spans="2:10" ht="15" thickBot="1" x14ac:dyDescent="0.4">
      <c r="B113" s="4"/>
      <c r="C113" s="4"/>
      <c r="D113" s="14"/>
      <c r="E113" s="15"/>
      <c r="F113" s="15"/>
      <c r="G113" s="16"/>
      <c r="H113" s="14"/>
      <c r="I113" s="14"/>
      <c r="J113" s="15"/>
    </row>
    <row r="114" spans="2:10" ht="15" thickBot="1" x14ac:dyDescent="0.4">
      <c r="B114" s="4"/>
      <c r="C114" s="4"/>
      <c r="D114" s="14"/>
      <c r="E114" s="15"/>
      <c r="F114" s="15"/>
      <c r="G114" s="16"/>
      <c r="H114" s="14"/>
      <c r="I114" s="14"/>
      <c r="J114" s="15"/>
    </row>
    <row r="115" spans="2:10" ht="15" thickBot="1" x14ac:dyDescent="0.4">
      <c r="B115" s="4"/>
      <c r="C115" s="4"/>
      <c r="D115" s="14"/>
      <c r="E115" s="15"/>
      <c r="F115" s="15"/>
      <c r="G115" s="16"/>
      <c r="H115" s="14"/>
      <c r="I115" s="14"/>
      <c r="J115" s="15"/>
    </row>
    <row r="116" spans="2:10" ht="15" thickBot="1" x14ac:dyDescent="0.4">
      <c r="B116" s="4"/>
      <c r="C116" s="4"/>
      <c r="D116" s="14"/>
      <c r="E116" s="15"/>
      <c r="F116" s="15"/>
      <c r="G116" s="16"/>
      <c r="H116" s="14"/>
      <c r="I116" s="14"/>
      <c r="J116" s="15"/>
    </row>
    <row r="117" spans="2:10" ht="15" thickBot="1" x14ac:dyDescent="0.4">
      <c r="B117" s="4"/>
      <c r="C117" s="4"/>
      <c r="D117" s="14"/>
      <c r="E117" s="15"/>
      <c r="F117" s="15"/>
      <c r="G117" s="16"/>
      <c r="H117" s="14"/>
      <c r="I117" s="14"/>
      <c r="J117" s="15"/>
    </row>
    <row r="118" spans="2:10" ht="15" thickBot="1" x14ac:dyDescent="0.4">
      <c r="B118" s="4"/>
      <c r="C118" s="4"/>
      <c r="D118" s="14"/>
      <c r="E118" s="15"/>
      <c r="F118" s="15"/>
      <c r="G118" s="16"/>
      <c r="H118" s="14"/>
      <c r="I118" s="14"/>
      <c r="J118" s="15"/>
    </row>
    <row r="119" spans="2:10" ht="15" thickBot="1" x14ac:dyDescent="0.4">
      <c r="B119" s="4"/>
      <c r="C119" s="4"/>
      <c r="D119" s="14"/>
      <c r="E119" s="15"/>
      <c r="F119" s="15"/>
      <c r="G119" s="16"/>
      <c r="H119" s="14"/>
      <c r="I119" s="14"/>
      <c r="J119" s="15"/>
    </row>
    <row r="120" spans="2:10" ht="15" thickBot="1" x14ac:dyDescent="0.4">
      <c r="B120" s="4"/>
      <c r="C120" s="4"/>
      <c r="D120" s="14"/>
      <c r="E120" s="15"/>
      <c r="F120" s="15"/>
      <c r="G120" s="16"/>
      <c r="H120" s="14"/>
      <c r="I120" s="14"/>
      <c r="J120" s="15"/>
    </row>
    <row r="121" spans="2:10" ht="15" thickBot="1" x14ac:dyDescent="0.4">
      <c r="B121" s="4"/>
      <c r="C121" s="4"/>
      <c r="D121" s="14"/>
      <c r="E121" s="15"/>
      <c r="F121" s="15"/>
      <c r="G121" s="16"/>
      <c r="H121" s="14"/>
      <c r="I121" s="14"/>
      <c r="J121" s="15"/>
    </row>
    <row r="122" spans="2:10" ht="15" thickBot="1" x14ac:dyDescent="0.4">
      <c r="B122" s="4"/>
      <c r="C122" s="4"/>
      <c r="D122" s="17"/>
      <c r="E122" s="20"/>
      <c r="F122" s="20"/>
      <c r="G122" s="20"/>
      <c r="H122" s="20"/>
      <c r="I122" s="20"/>
      <c r="J122" s="17"/>
    </row>
    <row r="123" spans="2:10" ht="15" thickBot="1" x14ac:dyDescent="0.4">
      <c r="B123" s="4"/>
      <c r="C123" s="4"/>
      <c r="D123" s="4"/>
      <c r="E123" s="5"/>
      <c r="F123" s="5"/>
      <c r="G123" s="6"/>
      <c r="H123" s="4"/>
      <c r="I123" s="4"/>
      <c r="J123" s="4"/>
    </row>
    <row r="124" spans="2:10" ht="15" thickBot="1" x14ac:dyDescent="0.4">
      <c r="B124" s="4"/>
      <c r="C124" s="4"/>
      <c r="D124" s="4"/>
      <c r="E124" s="5"/>
      <c r="F124" s="5"/>
      <c r="G124" s="6"/>
      <c r="H124" s="4"/>
      <c r="I124" s="4"/>
      <c r="J124" s="4"/>
    </row>
    <row r="125" spans="2:10" ht="15" thickBot="1" x14ac:dyDescent="0.4">
      <c r="B125" s="4"/>
      <c r="C125" s="4"/>
      <c r="D125" s="4"/>
      <c r="E125" s="5"/>
      <c r="F125" s="5"/>
      <c r="G125" s="6"/>
      <c r="H125" s="4"/>
      <c r="I125" s="4"/>
      <c r="J125" s="4"/>
    </row>
    <row r="126" spans="2:10" ht="15" thickBot="1" x14ac:dyDescent="0.4">
      <c r="B126" s="4"/>
      <c r="C126" s="4"/>
      <c r="D126" s="4"/>
      <c r="E126" s="5"/>
      <c r="F126" s="5"/>
      <c r="G126" s="6"/>
      <c r="H126" s="4"/>
      <c r="I126" s="4"/>
      <c r="J126" s="4"/>
    </row>
    <row r="127" spans="2:10" ht="15" thickBot="1" x14ac:dyDescent="0.4">
      <c r="B127" s="4"/>
      <c r="C127" s="4"/>
      <c r="D127" s="4"/>
      <c r="E127" s="5"/>
      <c r="F127" s="5"/>
      <c r="G127" s="6"/>
      <c r="H127" s="4"/>
      <c r="I127" s="4"/>
      <c r="J127" s="4"/>
    </row>
    <row r="128" spans="2:10" ht="15" thickBot="1" x14ac:dyDescent="0.4">
      <c r="B128" s="4"/>
      <c r="C128" s="4"/>
      <c r="D128" s="4"/>
      <c r="E128" s="5"/>
      <c r="F128" s="5"/>
      <c r="G128" s="6"/>
      <c r="H128" s="4"/>
      <c r="I128" s="4"/>
      <c r="J128" s="4"/>
    </row>
    <row r="129" spans="2:10" ht="15" thickBot="1" x14ac:dyDescent="0.4">
      <c r="B129" s="4"/>
      <c r="C129" s="4"/>
      <c r="D129" s="4"/>
      <c r="E129" s="5"/>
      <c r="F129" s="5"/>
      <c r="G129" s="6"/>
      <c r="H129" s="4"/>
      <c r="I129" s="4"/>
      <c r="J129" s="4"/>
    </row>
    <row r="130" spans="2:10" ht="15" thickBot="1" x14ac:dyDescent="0.4">
      <c r="B130" s="4"/>
      <c r="C130" s="4"/>
      <c r="D130" s="4"/>
      <c r="E130" s="5"/>
      <c r="F130" s="5"/>
      <c r="G130" s="6"/>
      <c r="H130" s="4"/>
      <c r="I130" s="4"/>
      <c r="J130" s="4"/>
    </row>
    <row r="131" spans="2:10" ht="15" thickBot="1" x14ac:dyDescent="0.4">
      <c r="B131" s="4"/>
      <c r="C131" s="4"/>
      <c r="D131" s="7"/>
      <c r="E131" s="8"/>
      <c r="F131" s="8"/>
      <c r="G131" s="8"/>
      <c r="H131" s="8"/>
      <c r="I131" s="3"/>
      <c r="J131" s="9"/>
    </row>
    <row r="132" spans="2:10" ht="15" thickBot="1" x14ac:dyDescent="0.4">
      <c r="B132" s="4"/>
      <c r="C132" s="4"/>
      <c r="D132" s="7"/>
      <c r="E132" s="8"/>
      <c r="F132" s="8"/>
      <c r="G132" s="8"/>
      <c r="H132" s="8"/>
      <c r="I132" s="8"/>
      <c r="J132" s="4"/>
    </row>
    <row r="133" spans="2:10" ht="15" thickBot="1" x14ac:dyDescent="0.4">
      <c r="B133" s="4"/>
      <c r="C133" s="4"/>
      <c r="D133" s="7"/>
      <c r="E133" s="8"/>
      <c r="F133" s="8"/>
      <c r="G133" s="8"/>
      <c r="H133" s="8"/>
      <c r="I133" s="8"/>
      <c r="J133" s="4"/>
    </row>
    <row r="134" spans="2:10" ht="15" thickBot="1" x14ac:dyDescent="0.4">
      <c r="B134" s="4"/>
      <c r="C134" s="4"/>
      <c r="D134" s="7"/>
      <c r="E134" s="8"/>
      <c r="F134" s="8"/>
      <c r="G134" s="8"/>
      <c r="H134" s="8"/>
      <c r="I134" s="8"/>
      <c r="J134" s="4"/>
    </row>
    <row r="135" spans="2:10" ht="15" thickBot="1" x14ac:dyDescent="0.4">
      <c r="B135" s="4"/>
      <c r="C135" s="4"/>
      <c r="D135" s="7"/>
      <c r="E135" s="8"/>
      <c r="F135" s="8"/>
      <c r="G135" s="8"/>
      <c r="H135" s="8"/>
      <c r="I135" s="8"/>
      <c r="J135" s="4"/>
    </row>
    <row r="136" spans="2:10" ht="15" thickBot="1" x14ac:dyDescent="0.4">
      <c r="B136" s="4"/>
      <c r="C136" s="4"/>
      <c r="D136" s="18"/>
      <c r="E136" s="18"/>
      <c r="F136" s="18"/>
      <c r="G136" s="18"/>
      <c r="H136" s="18"/>
      <c r="I136" s="18"/>
      <c r="J136" s="18"/>
    </row>
    <row r="137" spans="2:10" ht="15" thickBot="1" x14ac:dyDescent="0.4">
      <c r="B137" s="4"/>
      <c r="C137" s="4"/>
      <c r="D137" s="18"/>
      <c r="E137" s="18"/>
      <c r="F137" s="18"/>
      <c r="G137" s="18"/>
      <c r="H137" s="18"/>
      <c r="I137" s="18"/>
      <c r="J137" s="18"/>
    </row>
    <row r="138" spans="2:10" ht="15" thickBot="1" x14ac:dyDescent="0.4">
      <c r="B138" s="4"/>
      <c r="C138" s="4"/>
      <c r="D138" s="18"/>
      <c r="E138" s="18"/>
      <c r="F138" s="18"/>
      <c r="G138" s="18"/>
      <c r="H138" s="18"/>
      <c r="I138" s="18"/>
      <c r="J138" s="18"/>
    </row>
    <row r="139" spans="2:10" ht="15" thickBot="1" x14ac:dyDescent="0.4">
      <c r="B139" s="4"/>
      <c r="C139" s="4"/>
      <c r="D139" s="18"/>
      <c r="E139" s="18"/>
      <c r="F139" s="18"/>
      <c r="G139" s="18"/>
      <c r="H139" s="18"/>
      <c r="I139" s="18"/>
      <c r="J139" s="18"/>
    </row>
    <row r="140" spans="2:10" ht="15" thickBot="1" x14ac:dyDescent="0.4">
      <c r="B140" s="4"/>
      <c r="C140" s="4"/>
      <c r="D140" s="18"/>
      <c r="E140" s="18"/>
      <c r="F140" s="18"/>
      <c r="G140" s="18"/>
      <c r="H140" s="18"/>
      <c r="I140" s="18"/>
      <c r="J140" s="18"/>
    </row>
    <row r="141" spans="2:10" ht="15" thickBot="1" x14ac:dyDescent="0.4">
      <c r="B141" s="4"/>
      <c r="C141" s="4"/>
      <c r="D141" s="4"/>
      <c r="E141" s="4"/>
      <c r="F141" s="4"/>
      <c r="G141" s="4"/>
      <c r="H141" s="4"/>
      <c r="I141" s="4"/>
      <c r="J141" s="4"/>
    </row>
    <row r="142" spans="2:10" ht="15" thickBot="1" x14ac:dyDescent="0.4">
      <c r="B142" s="4"/>
      <c r="C142" s="4"/>
      <c r="D142" s="4"/>
      <c r="E142" s="4"/>
      <c r="F142" s="4"/>
      <c r="G142" s="4"/>
      <c r="H142" s="4"/>
      <c r="I142" s="4"/>
      <c r="J142" s="4"/>
    </row>
    <row r="143" spans="2:10" ht="15" thickBot="1" x14ac:dyDescent="0.4">
      <c r="B143" s="4"/>
      <c r="C143" s="4"/>
      <c r="D143" s="4"/>
      <c r="E143" s="4"/>
      <c r="F143" s="4"/>
      <c r="G143" s="4"/>
      <c r="H143" s="4"/>
      <c r="I143" s="4"/>
      <c r="J143" s="4"/>
    </row>
    <row r="144" spans="2:10" ht="15" thickBot="1" x14ac:dyDescent="0.4">
      <c r="B144" s="4"/>
      <c r="C144" s="4"/>
      <c r="D144" s="19"/>
      <c r="E144" s="10"/>
      <c r="F144" s="10"/>
      <c r="G144" s="10"/>
      <c r="H144" s="4"/>
      <c r="I144" s="4"/>
      <c r="J144" s="18"/>
    </row>
    <row r="145" spans="2:10" ht="15" thickBot="1" x14ac:dyDescent="0.4">
      <c r="B145" s="4"/>
      <c r="C145" s="4"/>
      <c r="D145" s="10"/>
      <c r="E145" s="10"/>
      <c r="F145" s="10"/>
      <c r="G145" s="10"/>
      <c r="H145" s="4"/>
      <c r="I145" s="4"/>
      <c r="J145" s="18"/>
    </row>
    <row r="146" spans="2:10" ht="15" thickBot="1" x14ac:dyDescent="0.4">
      <c r="B146" s="4"/>
      <c r="C146" s="4"/>
      <c r="D146" s="4"/>
      <c r="E146" s="4"/>
      <c r="F146" s="4"/>
      <c r="G146" s="4"/>
      <c r="H146" s="4"/>
      <c r="I146" s="4"/>
      <c r="J146" s="4"/>
    </row>
    <row r="147" spans="2:10" ht="15" thickBot="1" x14ac:dyDescent="0.4">
      <c r="B147" s="4"/>
      <c r="C147" s="4"/>
      <c r="D147" s="4"/>
      <c r="E147" s="4"/>
      <c r="F147" s="4"/>
      <c r="G147" s="4"/>
      <c r="H147" s="4"/>
      <c r="I147" s="4"/>
      <c r="J147" s="4"/>
    </row>
    <row r="148" spans="2:10" ht="15" thickBot="1" x14ac:dyDescent="0.4">
      <c r="B148" s="4"/>
      <c r="C148" s="4"/>
      <c r="D148" s="4"/>
      <c r="E148" s="4"/>
      <c r="F148" s="4"/>
      <c r="G148" s="4"/>
      <c r="H148" s="4"/>
      <c r="I148" s="4"/>
      <c r="J148" s="4"/>
    </row>
    <row r="152" spans="2:10" ht="15" thickBot="1" x14ac:dyDescent="0.4"/>
    <row r="153" spans="2:10" ht="15.5" x14ac:dyDescent="0.35">
      <c r="B153" s="11"/>
      <c r="C153" s="27" t="s">
        <v>59</v>
      </c>
      <c r="D153" s="28"/>
      <c r="E153" s="28"/>
      <c r="F153" s="28"/>
      <c r="G153" s="28"/>
      <c r="H153" s="28"/>
      <c r="I153" s="29"/>
      <c r="J153" s="11"/>
    </row>
    <row r="154" spans="2:10" ht="15.5" x14ac:dyDescent="0.35">
      <c r="B154" s="11"/>
      <c r="C154" s="30"/>
      <c r="D154" s="31"/>
      <c r="E154" s="31"/>
      <c r="F154" s="31"/>
      <c r="G154" s="31"/>
      <c r="H154" s="31"/>
      <c r="I154" s="32"/>
      <c r="J154" s="11"/>
    </row>
    <row r="155" spans="2:10" ht="16" thickBot="1" x14ac:dyDescent="0.4">
      <c r="B155" s="11"/>
      <c r="C155" s="33"/>
      <c r="D155" s="34"/>
      <c r="E155" s="34"/>
      <c r="F155" s="34"/>
      <c r="G155" s="34"/>
      <c r="H155" s="34"/>
      <c r="I155" s="35"/>
      <c r="J155" s="11"/>
    </row>
    <row r="156" spans="2:10" ht="15" thickBot="1" x14ac:dyDescent="0.4"/>
    <row r="157" spans="2:10" ht="15" thickBot="1" x14ac:dyDescent="0.4">
      <c r="C157" s="36" t="s">
        <v>1</v>
      </c>
      <c r="D157" s="37"/>
      <c r="E157" s="38"/>
      <c r="F157" s="42" t="str">
        <f>'pharmacy and challan'!E7</f>
        <v>KABITA GOGOI(ESIC/S.H.R.C.)</v>
      </c>
      <c r="G157" s="43"/>
      <c r="H157" s="43"/>
      <c r="I157" s="43"/>
      <c r="J157" s="12"/>
    </row>
    <row r="158" spans="2:10" ht="15" thickBot="1" x14ac:dyDescent="0.4">
      <c r="C158" s="39"/>
      <c r="D158" s="40"/>
      <c r="E158" s="41"/>
      <c r="F158" s="43"/>
      <c r="G158" s="43"/>
      <c r="H158" s="43"/>
      <c r="I158" s="43"/>
      <c r="J158" s="12"/>
    </row>
    <row r="159" spans="2:10" ht="15" thickBot="1" x14ac:dyDescent="0.4"/>
    <row r="160" spans="2:10" ht="15" thickBot="1" x14ac:dyDescent="0.4">
      <c r="B160" s="10" t="s">
        <v>57</v>
      </c>
      <c r="C160" s="10" t="s">
        <v>58</v>
      </c>
      <c r="D160" s="2" t="s">
        <v>4</v>
      </c>
      <c r="E160" s="2" t="s">
        <v>5</v>
      </c>
      <c r="F160" s="3" t="s">
        <v>6</v>
      </c>
      <c r="G160" s="2" t="s">
        <v>7</v>
      </c>
      <c r="H160" s="2" t="s">
        <v>8</v>
      </c>
      <c r="I160" s="2" t="s">
        <v>60</v>
      </c>
      <c r="J160" s="2" t="s">
        <v>61</v>
      </c>
    </row>
    <row r="161" spans="2:10" ht="15" thickBot="1" x14ac:dyDescent="0.4">
      <c r="B161" s="4"/>
      <c r="C161" s="13"/>
      <c r="D161" s="14"/>
      <c r="E161" s="15"/>
      <c r="F161" s="15"/>
      <c r="G161" s="16"/>
      <c r="H161" s="14"/>
      <c r="I161" s="14"/>
      <c r="J161" s="15"/>
    </row>
    <row r="162" spans="2:10" ht="15" thickBot="1" x14ac:dyDescent="0.4">
      <c r="B162" s="4"/>
      <c r="C162" s="10"/>
      <c r="D162" s="14"/>
      <c r="E162" s="15"/>
      <c r="F162" s="15"/>
      <c r="G162" s="16"/>
      <c r="H162" s="14"/>
      <c r="I162" s="14"/>
      <c r="J162" s="15"/>
    </row>
    <row r="163" spans="2:10" ht="15" thickBot="1" x14ac:dyDescent="0.4">
      <c r="B163" s="4"/>
      <c r="C163" s="4"/>
      <c r="D163" s="14"/>
      <c r="E163" s="15"/>
      <c r="F163" s="15"/>
      <c r="G163" s="16"/>
      <c r="H163" s="14"/>
      <c r="I163" s="14"/>
      <c r="J163" s="15"/>
    </row>
    <row r="164" spans="2:10" ht="15" thickBot="1" x14ac:dyDescent="0.4">
      <c r="B164" s="4"/>
      <c r="C164" s="4"/>
      <c r="D164" s="14"/>
      <c r="E164" s="15"/>
      <c r="F164" s="15"/>
      <c r="G164" s="16"/>
      <c r="H164" s="14"/>
      <c r="I164" s="14"/>
      <c r="J164" s="15"/>
    </row>
    <row r="165" spans="2:10" ht="15" thickBot="1" x14ac:dyDescent="0.4">
      <c r="B165" s="4"/>
      <c r="C165" s="4"/>
      <c r="D165" s="14"/>
      <c r="E165" s="15"/>
      <c r="F165" s="15"/>
      <c r="G165" s="16"/>
      <c r="H165" s="14"/>
      <c r="I165" s="14"/>
      <c r="J165" s="15"/>
    </row>
    <row r="166" spans="2:10" ht="15" thickBot="1" x14ac:dyDescent="0.4">
      <c r="B166" s="4"/>
      <c r="C166" s="4"/>
      <c r="D166" s="14"/>
      <c r="E166" s="15"/>
      <c r="F166" s="15"/>
      <c r="G166" s="16"/>
      <c r="H166" s="14"/>
      <c r="I166" s="14"/>
      <c r="J166" s="15"/>
    </row>
    <row r="167" spans="2:10" ht="15" thickBot="1" x14ac:dyDescent="0.4">
      <c r="B167" s="4"/>
      <c r="C167" s="4"/>
      <c r="D167" s="14"/>
      <c r="E167" s="15"/>
      <c r="F167" s="15"/>
      <c r="G167" s="16"/>
      <c r="H167" s="14"/>
      <c r="I167" s="14"/>
      <c r="J167" s="15"/>
    </row>
    <row r="168" spans="2:10" ht="15" thickBot="1" x14ac:dyDescent="0.4">
      <c r="B168" s="4"/>
      <c r="C168" s="4"/>
      <c r="D168" s="14"/>
      <c r="E168" s="15"/>
      <c r="F168" s="15"/>
      <c r="G168" s="16"/>
      <c r="H168" s="14"/>
      <c r="I168" s="14"/>
      <c r="J168" s="15"/>
    </row>
    <row r="169" spans="2:10" ht="15" thickBot="1" x14ac:dyDescent="0.4">
      <c r="B169" s="4"/>
      <c r="C169" s="4"/>
      <c r="D169" s="14"/>
      <c r="E169" s="15"/>
      <c r="F169" s="15"/>
      <c r="G169" s="16"/>
      <c r="H169" s="14"/>
      <c r="I169" s="14"/>
      <c r="J169" s="15"/>
    </row>
    <row r="170" spans="2:10" ht="15" thickBot="1" x14ac:dyDescent="0.4">
      <c r="B170" s="4"/>
      <c r="C170" s="4"/>
      <c r="D170" s="14"/>
      <c r="E170" s="15"/>
      <c r="F170" s="15"/>
      <c r="G170" s="16"/>
      <c r="H170" s="14"/>
      <c r="I170" s="14"/>
      <c r="J170" s="15"/>
    </row>
    <row r="171" spans="2:10" ht="15" thickBot="1" x14ac:dyDescent="0.4">
      <c r="B171" s="4"/>
      <c r="C171" s="4"/>
      <c r="D171" s="14"/>
      <c r="E171" s="15"/>
      <c r="F171" s="15"/>
      <c r="G171" s="16"/>
      <c r="H171" s="14"/>
      <c r="I171" s="14"/>
      <c r="J171" s="15"/>
    </row>
    <row r="172" spans="2:10" ht="15" thickBot="1" x14ac:dyDescent="0.4">
      <c r="B172" s="4"/>
      <c r="C172" s="4"/>
      <c r="D172" s="17"/>
      <c r="E172" s="20"/>
      <c r="F172" s="20"/>
      <c r="G172" s="20"/>
      <c r="H172" s="20"/>
      <c r="I172" s="20"/>
      <c r="J172" s="17"/>
    </row>
    <row r="173" spans="2:10" ht="15" thickBot="1" x14ac:dyDescent="0.4">
      <c r="B173" s="4"/>
      <c r="C173" s="4"/>
      <c r="D173" s="4"/>
      <c r="E173" s="5"/>
      <c r="F173" s="5"/>
      <c r="G173" s="6"/>
      <c r="H173" s="4"/>
      <c r="I173" s="4"/>
      <c r="J173" s="4"/>
    </row>
    <row r="174" spans="2:10" ht="15" thickBot="1" x14ac:dyDescent="0.4">
      <c r="B174" s="4"/>
      <c r="C174" s="4"/>
      <c r="D174" s="4"/>
      <c r="E174" s="5"/>
      <c r="F174" s="5"/>
      <c r="G174" s="6"/>
      <c r="H174" s="4"/>
      <c r="I174" s="4"/>
      <c r="J174" s="4"/>
    </row>
    <row r="175" spans="2:10" ht="15" thickBot="1" x14ac:dyDescent="0.4">
      <c r="B175" s="4"/>
      <c r="C175" s="4"/>
      <c r="D175" s="4"/>
      <c r="E175" s="5"/>
      <c r="F175" s="5"/>
      <c r="G175" s="6"/>
      <c r="H175" s="4"/>
      <c r="I175" s="4"/>
      <c r="J175" s="4"/>
    </row>
    <row r="176" spans="2:10" ht="15" thickBot="1" x14ac:dyDescent="0.4">
      <c r="B176" s="4"/>
      <c r="C176" s="4"/>
      <c r="D176" s="4"/>
      <c r="E176" s="5"/>
      <c r="F176" s="5"/>
      <c r="G176" s="6"/>
      <c r="H176" s="4"/>
      <c r="I176" s="4"/>
      <c r="J176" s="4"/>
    </row>
    <row r="177" spans="2:10" ht="15" thickBot="1" x14ac:dyDescent="0.4">
      <c r="B177" s="4"/>
      <c r="C177" s="4"/>
      <c r="D177" s="4"/>
      <c r="E177" s="5"/>
      <c r="F177" s="5"/>
      <c r="G177" s="6"/>
      <c r="H177" s="4"/>
      <c r="I177" s="4"/>
      <c r="J177" s="4"/>
    </row>
    <row r="178" spans="2:10" ht="15" thickBot="1" x14ac:dyDescent="0.4">
      <c r="B178" s="4"/>
      <c r="C178" s="4"/>
      <c r="D178" s="4"/>
      <c r="E178" s="5"/>
      <c r="F178" s="5"/>
      <c r="G178" s="6"/>
      <c r="H178" s="4"/>
      <c r="I178" s="4"/>
      <c r="J178" s="4"/>
    </row>
    <row r="179" spans="2:10" ht="15" thickBot="1" x14ac:dyDescent="0.4">
      <c r="B179" s="4"/>
      <c r="C179" s="4"/>
      <c r="D179" s="4"/>
      <c r="E179" s="5"/>
      <c r="F179" s="5"/>
      <c r="G179" s="6"/>
      <c r="H179" s="4"/>
      <c r="I179" s="4"/>
      <c r="J179" s="4"/>
    </row>
    <row r="180" spans="2:10" ht="15" thickBot="1" x14ac:dyDescent="0.4">
      <c r="B180" s="4"/>
      <c r="C180" s="4"/>
      <c r="D180" s="4"/>
      <c r="E180" s="5"/>
      <c r="F180" s="5"/>
      <c r="G180" s="6"/>
      <c r="H180" s="4"/>
      <c r="I180" s="4"/>
      <c r="J180" s="4"/>
    </row>
    <row r="181" spans="2:10" ht="15" thickBot="1" x14ac:dyDescent="0.4">
      <c r="B181" s="4"/>
      <c r="C181" s="4"/>
      <c r="D181" s="7"/>
      <c r="E181" s="8"/>
      <c r="F181" s="8"/>
      <c r="G181" s="8"/>
      <c r="H181" s="8"/>
      <c r="I181" s="3"/>
      <c r="J181" s="9"/>
    </row>
    <row r="182" spans="2:10" ht="15" thickBot="1" x14ac:dyDescent="0.4">
      <c r="B182" s="4"/>
      <c r="C182" s="4"/>
      <c r="D182" s="7"/>
      <c r="E182" s="8"/>
      <c r="F182" s="8"/>
      <c r="G182" s="8"/>
      <c r="H182" s="8"/>
      <c r="I182" s="8"/>
      <c r="J182" s="4"/>
    </row>
    <row r="183" spans="2:10" ht="15" thickBot="1" x14ac:dyDescent="0.4">
      <c r="B183" s="4"/>
      <c r="C183" s="4"/>
      <c r="D183" s="7"/>
      <c r="E183" s="8"/>
      <c r="F183" s="8"/>
      <c r="G183" s="8"/>
      <c r="H183" s="8"/>
      <c r="I183" s="8"/>
      <c r="J183" s="4"/>
    </row>
    <row r="184" spans="2:10" ht="15" thickBot="1" x14ac:dyDescent="0.4">
      <c r="B184" s="4"/>
      <c r="C184" s="4"/>
      <c r="D184" s="7"/>
      <c r="E184" s="8"/>
      <c r="F184" s="8"/>
      <c r="G184" s="8"/>
      <c r="H184" s="8"/>
      <c r="I184" s="8"/>
      <c r="J184" s="4"/>
    </row>
    <row r="185" spans="2:10" ht="15" thickBot="1" x14ac:dyDescent="0.4">
      <c r="B185" s="4"/>
      <c r="C185" s="4"/>
      <c r="D185" s="7"/>
      <c r="E185" s="8"/>
      <c r="F185" s="8"/>
      <c r="G185" s="8"/>
      <c r="H185" s="8"/>
      <c r="I185" s="8"/>
      <c r="J185" s="4"/>
    </row>
    <row r="186" spans="2:10" ht="15" thickBot="1" x14ac:dyDescent="0.4">
      <c r="B186" s="4"/>
      <c r="C186" s="4"/>
      <c r="D186" s="18"/>
      <c r="E186" s="18"/>
      <c r="F186" s="18"/>
      <c r="G186" s="18"/>
      <c r="H186" s="18"/>
      <c r="I186" s="18"/>
      <c r="J186" s="18"/>
    </row>
    <row r="187" spans="2:10" ht="15" thickBot="1" x14ac:dyDescent="0.4">
      <c r="B187" s="4"/>
      <c r="C187" s="4"/>
      <c r="D187" s="18"/>
      <c r="E187" s="18"/>
      <c r="F187" s="18"/>
      <c r="G187" s="18"/>
      <c r="H187" s="18"/>
      <c r="I187" s="18"/>
      <c r="J187" s="18"/>
    </row>
    <row r="188" spans="2:10" ht="15" thickBot="1" x14ac:dyDescent="0.4">
      <c r="B188" s="4"/>
      <c r="C188" s="4"/>
      <c r="D188" s="18"/>
      <c r="E188" s="18"/>
      <c r="F188" s="18"/>
      <c r="G188" s="18"/>
      <c r="H188" s="18"/>
      <c r="I188" s="18"/>
      <c r="J188" s="18"/>
    </row>
    <row r="189" spans="2:10" ht="15" thickBot="1" x14ac:dyDescent="0.4">
      <c r="B189" s="4"/>
      <c r="C189" s="4"/>
      <c r="D189" s="18"/>
      <c r="E189" s="18"/>
      <c r="F189" s="18"/>
      <c r="G189" s="18"/>
      <c r="H189" s="18"/>
      <c r="I189" s="18"/>
      <c r="J189" s="18"/>
    </row>
    <row r="190" spans="2:10" ht="15" thickBot="1" x14ac:dyDescent="0.4">
      <c r="B190" s="4"/>
      <c r="C190" s="4"/>
      <c r="D190" s="18"/>
      <c r="E190" s="18"/>
      <c r="F190" s="18"/>
      <c r="G190" s="18"/>
      <c r="H190" s="18"/>
      <c r="I190" s="18"/>
      <c r="J190" s="18"/>
    </row>
    <row r="191" spans="2:10" ht="15" thickBot="1" x14ac:dyDescent="0.4">
      <c r="B191" s="4"/>
      <c r="C191" s="4"/>
      <c r="D191" s="4"/>
      <c r="E191" s="4"/>
      <c r="F191" s="4"/>
      <c r="G191" s="4"/>
      <c r="H191" s="4"/>
      <c r="I191" s="4"/>
      <c r="J191" s="4"/>
    </row>
    <row r="192" spans="2:10" ht="15" thickBot="1" x14ac:dyDescent="0.4">
      <c r="B192" s="4"/>
      <c r="C192" s="4"/>
      <c r="D192" s="4"/>
      <c r="E192" s="4"/>
      <c r="F192" s="4"/>
      <c r="G192" s="4"/>
      <c r="H192" s="4"/>
      <c r="I192" s="4"/>
      <c r="J192" s="4"/>
    </row>
    <row r="193" spans="2:10" ht="15" thickBot="1" x14ac:dyDescent="0.4">
      <c r="B193" s="4"/>
      <c r="C193" s="4"/>
      <c r="D193" s="4"/>
      <c r="E193" s="4"/>
      <c r="F193" s="4"/>
      <c r="G193" s="4"/>
      <c r="H193" s="4"/>
      <c r="I193" s="4"/>
      <c r="J193" s="4"/>
    </row>
    <row r="194" spans="2:10" ht="15" thickBot="1" x14ac:dyDescent="0.4">
      <c r="B194" s="4"/>
      <c r="C194" s="4"/>
      <c r="D194" s="19"/>
      <c r="E194" s="10"/>
      <c r="F194" s="10"/>
      <c r="G194" s="10"/>
      <c r="H194" s="4"/>
      <c r="I194" s="4"/>
      <c r="J194" s="18"/>
    </row>
    <row r="195" spans="2:10" ht="15" thickBot="1" x14ac:dyDescent="0.4">
      <c r="B195" s="4"/>
      <c r="C195" s="4"/>
      <c r="D195" s="10"/>
      <c r="E195" s="10"/>
      <c r="F195" s="10"/>
      <c r="G195" s="10"/>
      <c r="H195" s="4"/>
      <c r="I195" s="4"/>
      <c r="J195" s="18"/>
    </row>
    <row r="196" spans="2:10" ht="15" thickBot="1" x14ac:dyDescent="0.4">
      <c r="B196" s="4"/>
      <c r="C196" s="4"/>
      <c r="D196" s="4"/>
      <c r="E196" s="4"/>
      <c r="F196" s="4"/>
      <c r="G196" s="4"/>
      <c r="H196" s="4"/>
      <c r="I196" s="4"/>
      <c r="J196" s="4"/>
    </row>
    <row r="197" spans="2:10" ht="15" thickBot="1" x14ac:dyDescent="0.4">
      <c r="B197" s="4"/>
      <c r="C197" s="4"/>
      <c r="D197" s="4"/>
      <c r="E197" s="4"/>
      <c r="F197" s="4"/>
      <c r="G197" s="4"/>
      <c r="H197" s="4"/>
      <c r="I197" s="4"/>
      <c r="J197" s="4"/>
    </row>
    <row r="198" spans="2:10" ht="15" thickBot="1" x14ac:dyDescent="0.4">
      <c r="B198" s="4"/>
      <c r="C198" s="4"/>
      <c r="D198" s="4"/>
      <c r="E198" s="4"/>
      <c r="F198" s="4"/>
      <c r="G198" s="4"/>
      <c r="H198" s="4"/>
      <c r="I198" s="4"/>
      <c r="J198" s="4"/>
    </row>
    <row r="202" spans="2:10" ht="15" thickBot="1" x14ac:dyDescent="0.4"/>
    <row r="203" spans="2:10" ht="15.5" x14ac:dyDescent="0.35">
      <c r="B203" s="11"/>
      <c r="C203" s="27" t="s">
        <v>59</v>
      </c>
      <c r="D203" s="28"/>
      <c r="E203" s="28"/>
      <c r="F203" s="28"/>
      <c r="G203" s="28"/>
      <c r="H203" s="28"/>
      <c r="I203" s="29"/>
      <c r="J203" s="11"/>
    </row>
    <row r="204" spans="2:10" ht="15.5" x14ac:dyDescent="0.35">
      <c r="B204" s="11"/>
      <c r="C204" s="30"/>
      <c r="D204" s="31"/>
      <c r="E204" s="31"/>
      <c r="F204" s="31"/>
      <c r="G204" s="31"/>
      <c r="H204" s="31"/>
      <c r="I204" s="32"/>
      <c r="J204" s="11"/>
    </row>
    <row r="205" spans="2:10" ht="16" thickBot="1" x14ac:dyDescent="0.4">
      <c r="B205" s="11"/>
      <c r="C205" s="33"/>
      <c r="D205" s="34"/>
      <c r="E205" s="34"/>
      <c r="F205" s="34"/>
      <c r="G205" s="34"/>
      <c r="H205" s="34"/>
      <c r="I205" s="35"/>
      <c r="J205" s="11"/>
    </row>
    <row r="206" spans="2:10" ht="15" thickBot="1" x14ac:dyDescent="0.4"/>
    <row r="207" spans="2:10" ht="15" thickBot="1" x14ac:dyDescent="0.4">
      <c r="C207" s="36" t="s">
        <v>1</v>
      </c>
      <c r="D207" s="37"/>
      <c r="E207" s="38"/>
      <c r="F207" s="42" t="str">
        <f>'pharmacy and challan'!E7</f>
        <v>KABITA GOGOI(ESIC/S.H.R.C.)</v>
      </c>
      <c r="G207" s="43"/>
      <c r="H207" s="43"/>
      <c r="I207" s="43"/>
      <c r="J207" s="12"/>
    </row>
    <row r="208" spans="2:10" ht="15" thickBot="1" x14ac:dyDescent="0.4">
      <c r="C208" s="39"/>
      <c r="D208" s="40"/>
      <c r="E208" s="41"/>
      <c r="F208" s="43"/>
      <c r="G208" s="43"/>
      <c r="H208" s="43"/>
      <c r="I208" s="43"/>
      <c r="J208" s="12"/>
    </row>
    <row r="209" spans="2:10" ht="15" thickBot="1" x14ac:dyDescent="0.4"/>
    <row r="210" spans="2:10" ht="15" thickBot="1" x14ac:dyDescent="0.4">
      <c r="B210" s="10" t="s">
        <v>57</v>
      </c>
      <c r="C210" s="10" t="s">
        <v>58</v>
      </c>
      <c r="D210" s="2" t="s">
        <v>4</v>
      </c>
      <c r="E210" s="2" t="s">
        <v>5</v>
      </c>
      <c r="F210" s="3" t="s">
        <v>6</v>
      </c>
      <c r="G210" s="2" t="s">
        <v>7</v>
      </c>
      <c r="H210" s="2" t="s">
        <v>8</v>
      </c>
      <c r="I210" s="2" t="s">
        <v>60</v>
      </c>
      <c r="J210" s="2" t="s">
        <v>61</v>
      </c>
    </row>
    <row r="211" spans="2:10" ht="15" thickBot="1" x14ac:dyDescent="0.4">
      <c r="B211" s="4"/>
      <c r="C211" s="13"/>
      <c r="D211" s="14"/>
      <c r="E211" s="15"/>
      <c r="F211" s="15"/>
      <c r="G211" s="16"/>
      <c r="H211" s="14"/>
      <c r="I211" s="14"/>
      <c r="J211" s="15"/>
    </row>
    <row r="212" spans="2:10" ht="15" thickBot="1" x14ac:dyDescent="0.4">
      <c r="B212" s="4"/>
      <c r="C212" s="10"/>
      <c r="D212" s="14"/>
      <c r="E212" s="15"/>
      <c r="F212" s="15"/>
      <c r="G212" s="16"/>
      <c r="H212" s="14"/>
      <c r="I212" s="14"/>
      <c r="J212" s="15"/>
    </row>
    <row r="213" spans="2:10" ht="15" thickBot="1" x14ac:dyDescent="0.4">
      <c r="B213" s="4"/>
      <c r="C213" s="4"/>
      <c r="D213" s="14"/>
      <c r="E213" s="15"/>
      <c r="F213" s="15"/>
      <c r="G213" s="16"/>
      <c r="H213" s="14"/>
      <c r="I213" s="14"/>
      <c r="J213" s="15"/>
    </row>
    <row r="214" spans="2:10" ht="15" thickBot="1" x14ac:dyDescent="0.4">
      <c r="B214" s="4"/>
      <c r="C214" s="4"/>
      <c r="D214" s="14"/>
      <c r="E214" s="15"/>
      <c r="F214" s="15"/>
      <c r="G214" s="16"/>
      <c r="H214" s="14"/>
      <c r="I214" s="14"/>
      <c r="J214" s="15"/>
    </row>
    <row r="215" spans="2:10" ht="15" thickBot="1" x14ac:dyDescent="0.4">
      <c r="B215" s="4"/>
      <c r="C215" s="4"/>
      <c r="D215" s="14"/>
      <c r="E215" s="15"/>
      <c r="F215" s="15"/>
      <c r="G215" s="16"/>
      <c r="H215" s="14"/>
      <c r="I215" s="14"/>
      <c r="J215" s="15"/>
    </row>
    <row r="216" spans="2:10" ht="15" thickBot="1" x14ac:dyDescent="0.4">
      <c r="B216" s="4"/>
      <c r="C216" s="4"/>
      <c r="D216" s="14"/>
      <c r="E216" s="15"/>
      <c r="F216" s="15"/>
      <c r="G216" s="16"/>
      <c r="H216" s="14"/>
      <c r="I216" s="14"/>
      <c r="J216" s="15"/>
    </row>
    <row r="217" spans="2:10" ht="15" thickBot="1" x14ac:dyDescent="0.4">
      <c r="B217" s="4"/>
      <c r="C217" s="4"/>
      <c r="D217" s="14"/>
      <c r="E217" s="15"/>
      <c r="F217" s="15"/>
      <c r="G217" s="16"/>
      <c r="H217" s="14"/>
      <c r="I217" s="14"/>
      <c r="J217" s="15"/>
    </row>
    <row r="218" spans="2:10" ht="15" thickBot="1" x14ac:dyDescent="0.4">
      <c r="B218" s="4"/>
      <c r="C218" s="4"/>
      <c r="D218" s="14"/>
      <c r="E218" s="15"/>
      <c r="F218" s="15"/>
      <c r="G218" s="16"/>
      <c r="H218" s="14"/>
      <c r="I218" s="14"/>
      <c r="J218" s="15"/>
    </row>
    <row r="219" spans="2:10" ht="15" thickBot="1" x14ac:dyDescent="0.4">
      <c r="B219" s="4"/>
      <c r="C219" s="4"/>
      <c r="D219" s="14"/>
      <c r="E219" s="15"/>
      <c r="F219" s="15"/>
      <c r="G219" s="16"/>
      <c r="H219" s="14"/>
      <c r="I219" s="14"/>
      <c r="J219" s="15"/>
    </row>
    <row r="220" spans="2:10" ht="15" thickBot="1" x14ac:dyDescent="0.4">
      <c r="B220" s="4"/>
      <c r="C220" s="4"/>
      <c r="D220" s="14"/>
      <c r="E220" s="15"/>
      <c r="F220" s="15"/>
      <c r="G220" s="16"/>
      <c r="H220" s="14"/>
      <c r="I220" s="14"/>
      <c r="J220" s="15"/>
    </row>
    <row r="221" spans="2:10" ht="15" thickBot="1" x14ac:dyDescent="0.4">
      <c r="B221" s="4"/>
      <c r="C221" s="4"/>
      <c r="D221" s="14"/>
      <c r="E221" s="15"/>
      <c r="F221" s="15"/>
      <c r="G221" s="16"/>
      <c r="H221" s="14"/>
      <c r="I221" s="14"/>
      <c r="J221" s="15"/>
    </row>
    <row r="222" spans="2:10" ht="15" thickBot="1" x14ac:dyDescent="0.4">
      <c r="B222" s="4"/>
      <c r="C222" s="4"/>
      <c r="D222" s="17"/>
      <c r="E222" s="20"/>
      <c r="F222" s="20"/>
      <c r="G222" s="20"/>
      <c r="H222" s="20"/>
      <c r="I222" s="20"/>
      <c r="J222" s="17"/>
    </row>
    <row r="223" spans="2:10" ht="15" thickBot="1" x14ac:dyDescent="0.4">
      <c r="B223" s="4"/>
      <c r="C223" s="4"/>
      <c r="D223" s="4"/>
      <c r="E223" s="5"/>
      <c r="F223" s="5"/>
      <c r="G223" s="6"/>
      <c r="H223" s="4"/>
      <c r="I223" s="4"/>
      <c r="J223" s="4"/>
    </row>
    <row r="224" spans="2:10" ht="15" thickBot="1" x14ac:dyDescent="0.4">
      <c r="B224" s="4"/>
      <c r="C224" s="4"/>
      <c r="D224" s="4"/>
      <c r="E224" s="5"/>
      <c r="F224" s="5"/>
      <c r="G224" s="6"/>
      <c r="H224" s="4"/>
      <c r="I224" s="4"/>
      <c r="J224" s="4"/>
    </row>
    <row r="225" spans="2:10" ht="15" thickBot="1" x14ac:dyDescent="0.4">
      <c r="B225" s="4"/>
      <c r="C225" s="4"/>
      <c r="D225" s="4"/>
      <c r="E225" s="5"/>
      <c r="F225" s="5"/>
      <c r="G225" s="6"/>
      <c r="H225" s="4"/>
      <c r="I225" s="4"/>
      <c r="J225" s="4"/>
    </row>
    <row r="226" spans="2:10" ht="15" thickBot="1" x14ac:dyDescent="0.4">
      <c r="B226" s="4"/>
      <c r="C226" s="4"/>
      <c r="D226" s="4"/>
      <c r="E226" s="5"/>
      <c r="F226" s="5"/>
      <c r="G226" s="6"/>
      <c r="H226" s="4"/>
      <c r="I226" s="4"/>
      <c r="J226" s="4"/>
    </row>
    <row r="227" spans="2:10" ht="15" thickBot="1" x14ac:dyDescent="0.4">
      <c r="B227" s="4"/>
      <c r="C227" s="4"/>
      <c r="D227" s="4"/>
      <c r="E227" s="5"/>
      <c r="F227" s="5"/>
      <c r="G227" s="6"/>
      <c r="H227" s="4"/>
      <c r="I227" s="4"/>
      <c r="J227" s="4"/>
    </row>
    <row r="228" spans="2:10" ht="15" thickBot="1" x14ac:dyDescent="0.4">
      <c r="B228" s="4"/>
      <c r="C228" s="4"/>
      <c r="D228" s="4"/>
      <c r="E228" s="5"/>
      <c r="F228" s="5"/>
      <c r="G228" s="6"/>
      <c r="H228" s="4"/>
      <c r="I228" s="4"/>
      <c r="J228" s="4"/>
    </row>
    <row r="229" spans="2:10" ht="15" thickBot="1" x14ac:dyDescent="0.4">
      <c r="B229" s="4"/>
      <c r="C229" s="4"/>
      <c r="D229" s="4"/>
      <c r="E229" s="5"/>
      <c r="F229" s="5"/>
      <c r="G229" s="6"/>
      <c r="H229" s="4"/>
      <c r="I229" s="4"/>
      <c r="J229" s="4"/>
    </row>
    <row r="230" spans="2:10" ht="15" thickBot="1" x14ac:dyDescent="0.4">
      <c r="B230" s="4"/>
      <c r="C230" s="4"/>
      <c r="D230" s="4"/>
      <c r="E230" s="5"/>
      <c r="F230" s="5"/>
      <c r="G230" s="6"/>
      <c r="H230" s="4"/>
      <c r="I230" s="4"/>
      <c r="J230" s="4"/>
    </row>
    <row r="231" spans="2:10" ht="15" thickBot="1" x14ac:dyDescent="0.4">
      <c r="B231" s="4"/>
      <c r="C231" s="4"/>
      <c r="D231" s="7"/>
      <c r="E231" s="8"/>
      <c r="F231" s="8"/>
      <c r="G231" s="8"/>
      <c r="H231" s="8"/>
      <c r="I231" s="3"/>
      <c r="J231" s="9"/>
    </row>
    <row r="232" spans="2:10" ht="15" thickBot="1" x14ac:dyDescent="0.4">
      <c r="B232" s="4"/>
      <c r="C232" s="4"/>
      <c r="D232" s="7"/>
      <c r="E232" s="8"/>
      <c r="F232" s="8"/>
      <c r="G232" s="8"/>
      <c r="H232" s="8"/>
      <c r="I232" s="8"/>
      <c r="J232" s="4"/>
    </row>
    <row r="233" spans="2:10" ht="15" thickBot="1" x14ac:dyDescent="0.4">
      <c r="B233" s="4"/>
      <c r="C233" s="4"/>
      <c r="D233" s="7"/>
      <c r="E233" s="8"/>
      <c r="F233" s="8"/>
      <c r="G233" s="8"/>
      <c r="H233" s="8"/>
      <c r="I233" s="8"/>
      <c r="J233" s="4"/>
    </row>
    <row r="234" spans="2:10" ht="15" thickBot="1" x14ac:dyDescent="0.4">
      <c r="B234" s="4"/>
      <c r="C234" s="4"/>
      <c r="D234" s="7"/>
      <c r="E234" s="8"/>
      <c r="F234" s="8"/>
      <c r="G234" s="8"/>
      <c r="H234" s="8"/>
      <c r="I234" s="8"/>
      <c r="J234" s="4"/>
    </row>
    <row r="235" spans="2:10" ht="15" thickBot="1" x14ac:dyDescent="0.4">
      <c r="B235" s="4"/>
      <c r="C235" s="4"/>
      <c r="D235" s="7"/>
      <c r="E235" s="8"/>
      <c r="F235" s="8"/>
      <c r="G235" s="8"/>
      <c r="H235" s="8"/>
      <c r="I235" s="8"/>
      <c r="J235" s="4"/>
    </row>
    <row r="236" spans="2:10" ht="15" thickBot="1" x14ac:dyDescent="0.4">
      <c r="B236" s="4"/>
      <c r="C236" s="4"/>
      <c r="D236" s="18"/>
      <c r="E236" s="18"/>
      <c r="F236" s="18"/>
      <c r="G236" s="18"/>
      <c r="H236" s="18"/>
      <c r="I236" s="18"/>
      <c r="J236" s="18"/>
    </row>
    <row r="237" spans="2:10" ht="15" thickBot="1" x14ac:dyDescent="0.4">
      <c r="B237" s="4"/>
      <c r="C237" s="4"/>
      <c r="D237" s="18"/>
      <c r="E237" s="18"/>
      <c r="F237" s="18"/>
      <c r="G237" s="18"/>
      <c r="H237" s="18"/>
      <c r="I237" s="18"/>
      <c r="J237" s="18"/>
    </row>
    <row r="238" spans="2:10" ht="15" thickBot="1" x14ac:dyDescent="0.4">
      <c r="B238" s="4"/>
      <c r="C238" s="4"/>
      <c r="D238" s="18"/>
      <c r="E238" s="18"/>
      <c r="F238" s="18"/>
      <c r="G238" s="18"/>
      <c r="H238" s="18"/>
      <c r="I238" s="18"/>
      <c r="J238" s="18"/>
    </row>
    <row r="239" spans="2:10" ht="15" thickBot="1" x14ac:dyDescent="0.4">
      <c r="B239" s="4"/>
      <c r="C239" s="4"/>
      <c r="D239" s="18"/>
      <c r="E239" s="18"/>
      <c r="F239" s="18"/>
      <c r="G239" s="18"/>
      <c r="H239" s="18"/>
      <c r="I239" s="18"/>
      <c r="J239" s="18"/>
    </row>
    <row r="240" spans="2:10" ht="15" thickBot="1" x14ac:dyDescent="0.4">
      <c r="B240" s="4"/>
      <c r="C240" s="4"/>
      <c r="D240" s="18"/>
      <c r="E240" s="18"/>
      <c r="F240" s="18"/>
      <c r="G240" s="18"/>
      <c r="H240" s="18"/>
      <c r="I240" s="18"/>
      <c r="J240" s="18"/>
    </row>
    <row r="241" spans="2:10" ht="15" thickBot="1" x14ac:dyDescent="0.4">
      <c r="B241" s="4"/>
      <c r="C241" s="4"/>
      <c r="D241" s="4"/>
      <c r="E241" s="4"/>
      <c r="F241" s="4"/>
      <c r="G241" s="4"/>
      <c r="H241" s="4"/>
      <c r="I241" s="4"/>
      <c r="J241" s="4"/>
    </row>
    <row r="242" spans="2:10" ht="15" thickBot="1" x14ac:dyDescent="0.4">
      <c r="B242" s="4"/>
      <c r="C242" s="4"/>
      <c r="D242" s="4"/>
      <c r="E242" s="4"/>
      <c r="F242" s="4"/>
      <c r="G242" s="4"/>
      <c r="H242" s="4"/>
      <c r="I242" s="4"/>
      <c r="J242" s="4"/>
    </row>
    <row r="243" spans="2:10" ht="15" thickBot="1" x14ac:dyDescent="0.4">
      <c r="B243" s="4"/>
      <c r="C243" s="4"/>
      <c r="D243" s="4"/>
      <c r="E243" s="4"/>
      <c r="F243" s="4"/>
      <c r="G243" s="4"/>
      <c r="H243" s="4"/>
      <c r="I243" s="4"/>
      <c r="J243" s="4"/>
    </row>
    <row r="244" spans="2:10" ht="15" thickBot="1" x14ac:dyDescent="0.4">
      <c r="B244" s="4"/>
      <c r="C244" s="4"/>
      <c r="D244" s="19"/>
      <c r="E244" s="10"/>
      <c r="F244" s="10"/>
      <c r="G244" s="10"/>
      <c r="H244" s="4"/>
      <c r="I244" s="4"/>
      <c r="J244" s="18"/>
    </row>
    <row r="245" spans="2:10" ht="15" thickBot="1" x14ac:dyDescent="0.4">
      <c r="B245" s="4"/>
      <c r="C245" s="4"/>
      <c r="D245" s="10"/>
      <c r="E245" s="10"/>
      <c r="F245" s="10"/>
      <c r="G245" s="10"/>
      <c r="H245" s="4"/>
      <c r="I245" s="4"/>
      <c r="J245" s="18"/>
    </row>
    <row r="246" spans="2:10" ht="15" thickBot="1" x14ac:dyDescent="0.4">
      <c r="B246" s="4"/>
      <c r="C246" s="4"/>
      <c r="D246" s="4"/>
      <c r="E246" s="4"/>
      <c r="F246" s="4"/>
      <c r="G246" s="4"/>
      <c r="H246" s="4"/>
      <c r="I246" s="4"/>
      <c r="J246" s="4"/>
    </row>
    <row r="247" spans="2:10" ht="15" thickBot="1" x14ac:dyDescent="0.4">
      <c r="B247" s="4"/>
      <c r="C247" s="4"/>
      <c r="D247" s="4"/>
      <c r="E247" s="4"/>
      <c r="F247" s="4"/>
      <c r="G247" s="4"/>
      <c r="H247" s="4"/>
      <c r="I247" s="4"/>
      <c r="J247" s="4"/>
    </row>
    <row r="248" spans="2:10" ht="15" thickBot="1" x14ac:dyDescent="0.4">
      <c r="B248" s="4"/>
      <c r="C248" s="4"/>
      <c r="D248" s="4"/>
      <c r="E248" s="4"/>
      <c r="F248" s="4"/>
      <c r="G248" s="4"/>
      <c r="H248" s="4"/>
      <c r="I248" s="4"/>
      <c r="J248" s="4"/>
    </row>
    <row r="252" spans="2:10" ht="15" thickBot="1" x14ac:dyDescent="0.4"/>
    <row r="253" spans="2:10" ht="15.5" x14ac:dyDescent="0.35">
      <c r="B253" s="11"/>
      <c r="C253" s="27" t="s">
        <v>59</v>
      </c>
      <c r="D253" s="28"/>
      <c r="E253" s="28"/>
      <c r="F253" s="28"/>
      <c r="G253" s="28"/>
      <c r="H253" s="28"/>
      <c r="I253" s="29"/>
      <c r="J253" s="11"/>
    </row>
    <row r="254" spans="2:10" ht="15.5" x14ac:dyDescent="0.35">
      <c r="B254" s="11"/>
      <c r="C254" s="30"/>
      <c r="D254" s="31"/>
      <c r="E254" s="31"/>
      <c r="F254" s="31"/>
      <c r="G254" s="31"/>
      <c r="H254" s="31"/>
      <c r="I254" s="32"/>
      <c r="J254" s="11"/>
    </row>
    <row r="255" spans="2:10" ht="16" thickBot="1" x14ac:dyDescent="0.4">
      <c r="B255" s="11"/>
      <c r="C255" s="33"/>
      <c r="D255" s="34"/>
      <c r="E255" s="34"/>
      <c r="F255" s="34"/>
      <c r="G255" s="34"/>
      <c r="H255" s="34"/>
      <c r="I255" s="35"/>
      <c r="J255" s="11"/>
    </row>
    <row r="256" spans="2:10" ht="15" thickBot="1" x14ac:dyDescent="0.4"/>
    <row r="257" spans="2:10" ht="15" thickBot="1" x14ac:dyDescent="0.4">
      <c r="C257" s="36" t="s">
        <v>1</v>
      </c>
      <c r="D257" s="37"/>
      <c r="E257" s="38"/>
      <c r="F257" s="42" t="str">
        <f>'pharmacy and challan'!E7</f>
        <v>KABITA GOGOI(ESIC/S.H.R.C.)</v>
      </c>
      <c r="G257" s="43"/>
      <c r="H257" s="43"/>
      <c r="I257" s="43"/>
      <c r="J257" s="12"/>
    </row>
    <row r="258" spans="2:10" ht="15" thickBot="1" x14ac:dyDescent="0.4">
      <c r="C258" s="39"/>
      <c r="D258" s="40"/>
      <c r="E258" s="41"/>
      <c r="F258" s="43"/>
      <c r="G258" s="43"/>
      <c r="H258" s="43"/>
      <c r="I258" s="43"/>
      <c r="J258" s="12"/>
    </row>
    <row r="259" spans="2:10" ht="15" thickBot="1" x14ac:dyDescent="0.4"/>
    <row r="260" spans="2:10" ht="15" thickBot="1" x14ac:dyDescent="0.4">
      <c r="B260" s="10" t="s">
        <v>57</v>
      </c>
      <c r="C260" s="10" t="s">
        <v>58</v>
      </c>
      <c r="D260" s="2" t="s">
        <v>4</v>
      </c>
      <c r="E260" s="2" t="s">
        <v>5</v>
      </c>
      <c r="F260" s="3" t="s">
        <v>6</v>
      </c>
      <c r="G260" s="2" t="s">
        <v>7</v>
      </c>
      <c r="H260" s="2" t="s">
        <v>8</v>
      </c>
      <c r="I260" s="2" t="s">
        <v>60</v>
      </c>
      <c r="J260" s="2" t="s">
        <v>61</v>
      </c>
    </row>
    <row r="261" spans="2:10" ht="15" thickBot="1" x14ac:dyDescent="0.4">
      <c r="B261" s="4"/>
      <c r="C261" s="13"/>
      <c r="D261" s="14"/>
      <c r="E261" s="15"/>
      <c r="F261" s="15"/>
      <c r="G261" s="16"/>
      <c r="H261" s="14"/>
      <c r="I261" s="14"/>
      <c r="J261" s="15"/>
    </row>
    <row r="262" spans="2:10" ht="15" thickBot="1" x14ac:dyDescent="0.4">
      <c r="B262" s="4"/>
      <c r="C262" s="10"/>
      <c r="D262" s="14"/>
      <c r="E262" s="15"/>
      <c r="F262" s="15"/>
      <c r="G262" s="16"/>
      <c r="H262" s="14"/>
      <c r="I262" s="14"/>
      <c r="J262" s="15"/>
    </row>
    <row r="263" spans="2:10" ht="15" thickBot="1" x14ac:dyDescent="0.4">
      <c r="B263" s="4"/>
      <c r="C263" s="4"/>
      <c r="D263" s="14"/>
      <c r="E263" s="15"/>
      <c r="F263" s="15"/>
      <c r="G263" s="16"/>
      <c r="H263" s="14"/>
      <c r="I263" s="14"/>
      <c r="J263" s="15"/>
    </row>
    <row r="264" spans="2:10" ht="15" thickBot="1" x14ac:dyDescent="0.4">
      <c r="B264" s="4"/>
      <c r="C264" s="4"/>
      <c r="D264" s="14"/>
      <c r="E264" s="15"/>
      <c r="F264" s="15"/>
      <c r="G264" s="16"/>
      <c r="H264" s="14"/>
      <c r="I264" s="14"/>
      <c r="J264" s="15"/>
    </row>
    <row r="265" spans="2:10" ht="15" thickBot="1" x14ac:dyDescent="0.4">
      <c r="B265" s="4"/>
      <c r="C265" s="4"/>
      <c r="D265" s="14"/>
      <c r="E265" s="15"/>
      <c r="F265" s="15"/>
      <c r="G265" s="16"/>
      <c r="H265" s="14"/>
      <c r="I265" s="14"/>
      <c r="J265" s="15"/>
    </row>
    <row r="266" spans="2:10" ht="15" thickBot="1" x14ac:dyDescent="0.4">
      <c r="B266" s="4"/>
      <c r="C266" s="4"/>
      <c r="D266" s="14"/>
      <c r="E266" s="15"/>
      <c r="F266" s="15"/>
      <c r="G266" s="16"/>
      <c r="H266" s="14"/>
      <c r="I266" s="14"/>
      <c r="J266" s="15"/>
    </row>
    <row r="267" spans="2:10" ht="15" thickBot="1" x14ac:dyDescent="0.4">
      <c r="B267" s="4"/>
      <c r="C267" s="4"/>
      <c r="D267" s="14"/>
      <c r="E267" s="15"/>
      <c r="F267" s="15"/>
      <c r="G267" s="16"/>
      <c r="H267" s="14"/>
      <c r="I267" s="14"/>
      <c r="J267" s="15"/>
    </row>
    <row r="268" spans="2:10" ht="15" thickBot="1" x14ac:dyDescent="0.4">
      <c r="B268" s="4"/>
      <c r="C268" s="4"/>
      <c r="D268" s="14"/>
      <c r="E268" s="15"/>
      <c r="F268" s="15"/>
      <c r="G268" s="16"/>
      <c r="H268" s="14"/>
      <c r="I268" s="14"/>
      <c r="J268" s="15"/>
    </row>
    <row r="269" spans="2:10" ht="15" thickBot="1" x14ac:dyDescent="0.4">
      <c r="B269" s="4"/>
      <c r="C269" s="4"/>
      <c r="D269" s="14"/>
      <c r="E269" s="15"/>
      <c r="F269" s="15"/>
      <c r="G269" s="16"/>
      <c r="H269" s="14"/>
      <c r="I269" s="14"/>
      <c r="J269" s="15"/>
    </row>
    <row r="270" spans="2:10" ht="15" thickBot="1" x14ac:dyDescent="0.4">
      <c r="B270" s="4"/>
      <c r="C270" s="4"/>
      <c r="D270" s="14"/>
      <c r="E270" s="15"/>
      <c r="F270" s="15"/>
      <c r="G270" s="16"/>
      <c r="H270" s="14"/>
      <c r="I270" s="14"/>
      <c r="J270" s="15"/>
    </row>
    <row r="271" spans="2:10" ht="15" thickBot="1" x14ac:dyDescent="0.4">
      <c r="B271" s="4"/>
      <c r="C271" s="4"/>
      <c r="D271" s="14"/>
      <c r="E271" s="15"/>
      <c r="F271" s="15"/>
      <c r="G271" s="16"/>
      <c r="H271" s="14"/>
      <c r="I271" s="14"/>
      <c r="J271" s="15"/>
    </row>
    <row r="272" spans="2:10" ht="15" thickBot="1" x14ac:dyDescent="0.4">
      <c r="B272" s="4"/>
      <c r="C272" s="4"/>
      <c r="D272" s="17"/>
      <c r="E272" s="20"/>
      <c r="F272" s="20"/>
      <c r="G272" s="20"/>
      <c r="H272" s="20"/>
      <c r="I272" s="20"/>
      <c r="J272" s="17"/>
    </row>
    <row r="273" spans="2:10" ht="15" thickBot="1" x14ac:dyDescent="0.4">
      <c r="B273" s="4"/>
      <c r="C273" s="4"/>
      <c r="D273" s="4"/>
      <c r="E273" s="5"/>
      <c r="F273" s="5"/>
      <c r="G273" s="6"/>
      <c r="H273" s="4"/>
      <c r="I273" s="4"/>
      <c r="J273" s="4"/>
    </row>
    <row r="274" spans="2:10" ht="15" thickBot="1" x14ac:dyDescent="0.4">
      <c r="B274" s="4"/>
      <c r="C274" s="4"/>
      <c r="D274" s="4"/>
      <c r="E274" s="5"/>
      <c r="F274" s="5"/>
      <c r="G274" s="6"/>
      <c r="H274" s="4"/>
      <c r="I274" s="4"/>
      <c r="J274" s="4"/>
    </row>
    <row r="275" spans="2:10" ht="15" thickBot="1" x14ac:dyDescent="0.4">
      <c r="B275" s="4"/>
      <c r="C275" s="4"/>
      <c r="D275" s="4"/>
      <c r="E275" s="5"/>
      <c r="F275" s="5"/>
      <c r="G275" s="6"/>
      <c r="H275" s="4"/>
      <c r="I275" s="4"/>
      <c r="J275" s="4"/>
    </row>
    <row r="276" spans="2:10" ht="15" thickBot="1" x14ac:dyDescent="0.4">
      <c r="B276" s="4"/>
      <c r="C276" s="4"/>
      <c r="D276" s="4"/>
      <c r="E276" s="5"/>
      <c r="F276" s="5"/>
      <c r="G276" s="6"/>
      <c r="H276" s="4"/>
      <c r="I276" s="4"/>
      <c r="J276" s="4"/>
    </row>
    <row r="277" spans="2:10" ht="15" thickBot="1" x14ac:dyDescent="0.4">
      <c r="B277" s="4"/>
      <c r="C277" s="4"/>
      <c r="D277" s="4"/>
      <c r="E277" s="5"/>
      <c r="F277" s="5"/>
      <c r="G277" s="6"/>
      <c r="H277" s="4"/>
      <c r="I277" s="4"/>
      <c r="J277" s="4"/>
    </row>
    <row r="278" spans="2:10" ht="15" thickBot="1" x14ac:dyDescent="0.4">
      <c r="B278" s="4"/>
      <c r="C278" s="4"/>
      <c r="D278" s="4"/>
      <c r="E278" s="5"/>
      <c r="F278" s="5"/>
      <c r="G278" s="6"/>
      <c r="H278" s="4"/>
      <c r="I278" s="4"/>
      <c r="J278" s="4"/>
    </row>
    <row r="279" spans="2:10" ht="15" thickBot="1" x14ac:dyDescent="0.4">
      <c r="B279" s="4"/>
      <c r="C279" s="4"/>
      <c r="D279" s="4"/>
      <c r="E279" s="5"/>
      <c r="F279" s="5"/>
      <c r="G279" s="6"/>
      <c r="H279" s="4"/>
      <c r="I279" s="4"/>
      <c r="J279" s="4"/>
    </row>
    <row r="280" spans="2:10" ht="15" thickBot="1" x14ac:dyDescent="0.4">
      <c r="B280" s="4"/>
      <c r="C280" s="4"/>
      <c r="D280" s="4"/>
      <c r="E280" s="5"/>
      <c r="F280" s="5"/>
      <c r="G280" s="6"/>
      <c r="H280" s="4"/>
      <c r="I280" s="4"/>
      <c r="J280" s="4"/>
    </row>
    <row r="281" spans="2:10" ht="15" thickBot="1" x14ac:dyDescent="0.4">
      <c r="B281" s="4"/>
      <c r="C281" s="4"/>
      <c r="D281" s="7"/>
      <c r="E281" s="8"/>
      <c r="F281" s="8"/>
      <c r="G281" s="8"/>
      <c r="H281" s="8"/>
      <c r="I281" s="3"/>
      <c r="J281" s="9"/>
    </row>
    <row r="282" spans="2:10" ht="15" thickBot="1" x14ac:dyDescent="0.4">
      <c r="B282" s="4"/>
      <c r="C282" s="4"/>
      <c r="D282" s="7"/>
      <c r="E282" s="8"/>
      <c r="F282" s="8"/>
      <c r="G282" s="8"/>
      <c r="H282" s="8"/>
      <c r="I282" s="8"/>
      <c r="J282" s="4"/>
    </row>
    <row r="283" spans="2:10" ht="15" thickBot="1" x14ac:dyDescent="0.4">
      <c r="B283" s="4"/>
      <c r="C283" s="4"/>
      <c r="D283" s="7"/>
      <c r="E283" s="8"/>
      <c r="F283" s="8"/>
      <c r="G283" s="8"/>
      <c r="H283" s="8"/>
      <c r="I283" s="8"/>
      <c r="J283" s="4"/>
    </row>
    <row r="284" spans="2:10" ht="15" thickBot="1" x14ac:dyDescent="0.4">
      <c r="B284" s="4"/>
      <c r="C284" s="4"/>
      <c r="D284" s="7"/>
      <c r="E284" s="8"/>
      <c r="F284" s="8"/>
      <c r="G284" s="8"/>
      <c r="H284" s="8"/>
      <c r="I284" s="8"/>
      <c r="J284" s="4"/>
    </row>
    <row r="285" spans="2:10" ht="15" thickBot="1" x14ac:dyDescent="0.4">
      <c r="B285" s="4"/>
      <c r="C285" s="4"/>
      <c r="D285" s="7"/>
      <c r="E285" s="8"/>
      <c r="F285" s="8"/>
      <c r="G285" s="8"/>
      <c r="H285" s="8"/>
      <c r="I285" s="8"/>
      <c r="J285" s="4"/>
    </row>
    <row r="286" spans="2:10" ht="15" thickBot="1" x14ac:dyDescent="0.4">
      <c r="B286" s="4"/>
      <c r="C286" s="4"/>
      <c r="D286" s="18"/>
      <c r="E286" s="18"/>
      <c r="F286" s="18"/>
      <c r="G286" s="18"/>
      <c r="H286" s="18"/>
      <c r="I286" s="18"/>
      <c r="J286" s="18"/>
    </row>
    <row r="287" spans="2:10" ht="15" thickBot="1" x14ac:dyDescent="0.4">
      <c r="B287" s="4"/>
      <c r="C287" s="4"/>
      <c r="D287" s="18"/>
      <c r="E287" s="18"/>
      <c r="F287" s="18"/>
      <c r="G287" s="18"/>
      <c r="H287" s="18"/>
      <c r="I287" s="18"/>
      <c r="J287" s="18"/>
    </row>
    <row r="288" spans="2:10" ht="15" thickBot="1" x14ac:dyDescent="0.4">
      <c r="B288" s="4"/>
      <c r="C288" s="4"/>
      <c r="D288" s="18"/>
      <c r="E288" s="18"/>
      <c r="F288" s="18"/>
      <c r="G288" s="18"/>
      <c r="H288" s="18"/>
      <c r="I288" s="18"/>
      <c r="J288" s="18"/>
    </row>
    <row r="289" spans="2:10" ht="15" thickBot="1" x14ac:dyDescent="0.4">
      <c r="B289" s="4"/>
      <c r="C289" s="4"/>
      <c r="D289" s="18"/>
      <c r="E289" s="18"/>
      <c r="F289" s="18"/>
      <c r="G289" s="18"/>
      <c r="H289" s="18"/>
      <c r="I289" s="18"/>
      <c r="J289" s="18"/>
    </row>
    <row r="290" spans="2:10" ht="15" thickBot="1" x14ac:dyDescent="0.4">
      <c r="B290" s="4"/>
      <c r="C290" s="4"/>
      <c r="D290" s="18"/>
      <c r="E290" s="18"/>
      <c r="F290" s="18"/>
      <c r="G290" s="18"/>
      <c r="H290" s="18"/>
      <c r="I290" s="18"/>
      <c r="J290" s="18"/>
    </row>
    <row r="291" spans="2:10" ht="15" thickBot="1" x14ac:dyDescent="0.4">
      <c r="B291" s="4"/>
      <c r="C291" s="4"/>
      <c r="D291" s="4"/>
      <c r="E291" s="4"/>
      <c r="F291" s="4"/>
      <c r="G291" s="4"/>
      <c r="H291" s="4"/>
      <c r="I291" s="4"/>
      <c r="J291" s="4"/>
    </row>
    <row r="292" spans="2:10" ht="15" thickBot="1" x14ac:dyDescent="0.4">
      <c r="B292" s="4"/>
      <c r="C292" s="4"/>
      <c r="D292" s="4"/>
      <c r="E292" s="4"/>
      <c r="F292" s="4"/>
      <c r="G292" s="4"/>
      <c r="H292" s="4"/>
      <c r="I292" s="4"/>
      <c r="J292" s="4"/>
    </row>
    <row r="293" spans="2:10" ht="15" thickBot="1" x14ac:dyDescent="0.4">
      <c r="B293" s="4"/>
      <c r="C293" s="4"/>
      <c r="D293" s="4"/>
      <c r="E293" s="4"/>
      <c r="F293" s="4"/>
      <c r="G293" s="4"/>
      <c r="H293" s="4"/>
      <c r="I293" s="4"/>
      <c r="J293" s="4"/>
    </row>
    <row r="294" spans="2:10" ht="15" thickBot="1" x14ac:dyDescent="0.4">
      <c r="B294" s="4"/>
      <c r="C294" s="4"/>
      <c r="D294" s="19"/>
      <c r="E294" s="10"/>
      <c r="F294" s="10"/>
      <c r="G294" s="10"/>
      <c r="H294" s="4"/>
      <c r="I294" s="4"/>
      <c r="J294" s="18"/>
    </row>
    <row r="295" spans="2:10" ht="15" thickBot="1" x14ac:dyDescent="0.4">
      <c r="B295" s="4"/>
      <c r="C295" s="4"/>
      <c r="D295" s="10"/>
      <c r="E295" s="10"/>
      <c r="F295" s="10"/>
      <c r="G295" s="10"/>
      <c r="H295" s="4"/>
      <c r="I295" s="4"/>
      <c r="J295" s="18"/>
    </row>
    <row r="296" spans="2:10" ht="15" thickBot="1" x14ac:dyDescent="0.4">
      <c r="B296" s="4"/>
      <c r="C296" s="4"/>
      <c r="D296" s="4"/>
      <c r="E296" s="4"/>
      <c r="F296" s="4"/>
      <c r="G296" s="4"/>
      <c r="H296" s="4"/>
      <c r="I296" s="4"/>
      <c r="J296" s="4"/>
    </row>
    <row r="297" spans="2:10" ht="15" thickBot="1" x14ac:dyDescent="0.4">
      <c r="B297" s="4"/>
      <c r="C297" s="4"/>
      <c r="D297" s="4"/>
      <c r="E297" s="4"/>
      <c r="F297" s="4"/>
      <c r="G297" s="4"/>
      <c r="H297" s="4"/>
      <c r="I297" s="4"/>
      <c r="J297" s="4"/>
    </row>
    <row r="298" spans="2:10" ht="15" thickBot="1" x14ac:dyDescent="0.4">
      <c r="B298" s="4"/>
      <c r="C298" s="4"/>
      <c r="D298" s="4"/>
      <c r="E298" s="4"/>
      <c r="F298" s="4"/>
      <c r="G298" s="4"/>
      <c r="H298" s="4"/>
      <c r="I298" s="4"/>
      <c r="J298" s="4"/>
    </row>
    <row r="302" spans="2:10" ht="15" thickBot="1" x14ac:dyDescent="0.4"/>
    <row r="303" spans="2:10" ht="15.5" x14ac:dyDescent="0.35">
      <c r="B303" s="11"/>
      <c r="C303" s="27" t="s">
        <v>59</v>
      </c>
      <c r="D303" s="28"/>
      <c r="E303" s="28"/>
      <c r="F303" s="28"/>
      <c r="G303" s="28"/>
      <c r="H303" s="28"/>
      <c r="I303" s="29"/>
      <c r="J303" s="11"/>
    </row>
    <row r="304" spans="2:10" ht="15.5" x14ac:dyDescent="0.35">
      <c r="B304" s="11"/>
      <c r="C304" s="30"/>
      <c r="D304" s="31"/>
      <c r="E304" s="31"/>
      <c r="F304" s="31"/>
      <c r="G304" s="31"/>
      <c r="H304" s="31"/>
      <c r="I304" s="32"/>
      <c r="J304" s="11"/>
    </row>
    <row r="305" spans="2:10" ht="16" thickBot="1" x14ac:dyDescent="0.4">
      <c r="B305" s="11"/>
      <c r="C305" s="33"/>
      <c r="D305" s="34"/>
      <c r="E305" s="34"/>
      <c r="F305" s="34"/>
      <c r="G305" s="34"/>
      <c r="H305" s="34"/>
      <c r="I305" s="35"/>
      <c r="J305" s="11"/>
    </row>
    <row r="306" spans="2:10" ht="15" thickBot="1" x14ac:dyDescent="0.4"/>
    <row r="307" spans="2:10" ht="15" thickBot="1" x14ac:dyDescent="0.4">
      <c r="C307" s="36" t="s">
        <v>1</v>
      </c>
      <c r="D307" s="37"/>
      <c r="E307" s="38"/>
      <c r="F307" s="42" t="str">
        <f>'pharmacy and challan'!E7</f>
        <v>KABITA GOGOI(ESIC/S.H.R.C.)</v>
      </c>
      <c r="G307" s="43"/>
      <c r="H307" s="43"/>
      <c r="I307" s="43"/>
      <c r="J307" s="12"/>
    </row>
    <row r="308" spans="2:10" ht="15" thickBot="1" x14ac:dyDescent="0.4">
      <c r="C308" s="39"/>
      <c r="D308" s="40"/>
      <c r="E308" s="41"/>
      <c r="F308" s="43"/>
      <c r="G308" s="43"/>
      <c r="H308" s="43"/>
      <c r="I308" s="43"/>
      <c r="J308" s="12"/>
    </row>
    <row r="309" spans="2:10" ht="15" thickBot="1" x14ac:dyDescent="0.4"/>
    <row r="310" spans="2:10" ht="15" thickBot="1" x14ac:dyDescent="0.4">
      <c r="B310" s="10" t="s">
        <v>57</v>
      </c>
      <c r="C310" s="10" t="s">
        <v>58</v>
      </c>
      <c r="D310" s="2" t="s">
        <v>4</v>
      </c>
      <c r="E310" s="2" t="s">
        <v>5</v>
      </c>
      <c r="F310" s="3" t="s">
        <v>6</v>
      </c>
      <c r="G310" s="2" t="s">
        <v>7</v>
      </c>
      <c r="H310" s="2" t="s">
        <v>8</v>
      </c>
      <c r="I310" s="2" t="s">
        <v>60</v>
      </c>
      <c r="J310" s="2" t="s">
        <v>61</v>
      </c>
    </row>
    <row r="311" spans="2:10" ht="15" thickBot="1" x14ac:dyDescent="0.4">
      <c r="B311" s="4"/>
      <c r="C311" s="13"/>
      <c r="D311" s="14"/>
      <c r="E311" s="15"/>
      <c r="F311" s="15"/>
      <c r="G311" s="16"/>
      <c r="H311" s="14"/>
      <c r="I311" s="14"/>
      <c r="J311" s="15"/>
    </row>
    <row r="312" spans="2:10" ht="15" thickBot="1" x14ac:dyDescent="0.4">
      <c r="B312" s="4"/>
      <c r="C312" s="10"/>
      <c r="D312" s="14"/>
      <c r="E312" s="15"/>
      <c r="F312" s="15"/>
      <c r="G312" s="16"/>
      <c r="H312" s="14"/>
      <c r="I312" s="14"/>
      <c r="J312" s="15"/>
    </row>
    <row r="313" spans="2:10" ht="15" thickBot="1" x14ac:dyDescent="0.4">
      <c r="B313" s="4"/>
      <c r="C313" s="4"/>
      <c r="D313" s="14"/>
      <c r="E313" s="15"/>
      <c r="F313" s="15"/>
      <c r="G313" s="16"/>
      <c r="H313" s="14"/>
      <c r="I313" s="14"/>
      <c r="J313" s="15"/>
    </row>
    <row r="314" spans="2:10" ht="15" thickBot="1" x14ac:dyDescent="0.4">
      <c r="B314" s="4"/>
      <c r="C314" s="4"/>
      <c r="D314" s="14"/>
      <c r="E314" s="15"/>
      <c r="F314" s="15"/>
      <c r="G314" s="16"/>
      <c r="H314" s="14"/>
      <c r="I314" s="14"/>
      <c r="J314" s="15"/>
    </row>
    <row r="315" spans="2:10" ht="15" thickBot="1" x14ac:dyDescent="0.4">
      <c r="B315" s="4"/>
      <c r="C315" s="4"/>
      <c r="D315" s="14"/>
      <c r="E315" s="15"/>
      <c r="F315" s="15"/>
      <c r="G315" s="16"/>
      <c r="H315" s="14"/>
      <c r="I315" s="14"/>
      <c r="J315" s="15"/>
    </row>
    <row r="316" spans="2:10" ht="15" thickBot="1" x14ac:dyDescent="0.4">
      <c r="B316" s="4"/>
      <c r="C316" s="4"/>
      <c r="D316" s="14"/>
      <c r="E316" s="15"/>
      <c r="F316" s="15"/>
      <c r="G316" s="16"/>
      <c r="H316" s="14"/>
      <c r="I316" s="14"/>
      <c r="J316" s="15"/>
    </row>
    <row r="317" spans="2:10" ht="15" thickBot="1" x14ac:dyDescent="0.4">
      <c r="B317" s="4"/>
      <c r="C317" s="4"/>
      <c r="D317" s="14"/>
      <c r="E317" s="15"/>
      <c r="F317" s="15"/>
      <c r="G317" s="16"/>
      <c r="H317" s="14"/>
      <c r="I317" s="14"/>
      <c r="J317" s="15"/>
    </row>
    <row r="318" spans="2:10" ht="15" thickBot="1" x14ac:dyDescent="0.4">
      <c r="B318" s="4"/>
      <c r="C318" s="4"/>
      <c r="D318" s="14"/>
      <c r="E318" s="15"/>
      <c r="F318" s="15"/>
      <c r="G318" s="16"/>
      <c r="H318" s="14"/>
      <c r="I318" s="14"/>
      <c r="J318" s="15"/>
    </row>
    <row r="319" spans="2:10" ht="15" thickBot="1" x14ac:dyDescent="0.4">
      <c r="B319" s="4"/>
      <c r="C319" s="4"/>
      <c r="D319" s="14"/>
      <c r="E319" s="15"/>
      <c r="F319" s="15"/>
      <c r="G319" s="16"/>
      <c r="H319" s="14"/>
      <c r="I319" s="14"/>
      <c r="J319" s="15"/>
    </row>
    <row r="320" spans="2:10" ht="15" thickBot="1" x14ac:dyDescent="0.4">
      <c r="B320" s="4"/>
      <c r="C320" s="4"/>
      <c r="D320" s="14"/>
      <c r="E320" s="15"/>
      <c r="F320" s="15"/>
      <c r="G320" s="16"/>
      <c r="H320" s="14"/>
      <c r="I320" s="14"/>
      <c r="J320" s="15"/>
    </row>
    <row r="321" spans="2:10" ht="15" thickBot="1" x14ac:dyDescent="0.4">
      <c r="B321" s="4"/>
      <c r="C321" s="4"/>
      <c r="D321" s="14"/>
      <c r="E321" s="15"/>
      <c r="F321" s="15"/>
      <c r="G321" s="16"/>
      <c r="H321" s="14"/>
      <c r="I321" s="14"/>
      <c r="J321" s="15"/>
    </row>
    <row r="322" spans="2:10" ht="15" thickBot="1" x14ac:dyDescent="0.4">
      <c r="B322" s="4"/>
      <c r="C322" s="4"/>
      <c r="D322" s="17"/>
      <c r="E322" s="20"/>
      <c r="F322" s="20"/>
      <c r="G322" s="20"/>
      <c r="H322" s="20"/>
      <c r="I322" s="20"/>
      <c r="J322" s="17"/>
    </row>
    <row r="323" spans="2:10" ht="15" thickBot="1" x14ac:dyDescent="0.4">
      <c r="B323" s="4"/>
      <c r="C323" s="4"/>
      <c r="D323" s="4"/>
      <c r="E323" s="5"/>
      <c r="F323" s="5"/>
      <c r="G323" s="6"/>
      <c r="H323" s="4"/>
      <c r="I323" s="4"/>
      <c r="J323" s="4"/>
    </row>
    <row r="324" spans="2:10" ht="15" thickBot="1" x14ac:dyDescent="0.4">
      <c r="B324" s="4"/>
      <c r="C324" s="4"/>
      <c r="D324" s="4"/>
      <c r="E324" s="5"/>
      <c r="F324" s="5"/>
      <c r="G324" s="6"/>
      <c r="H324" s="4"/>
      <c r="I324" s="4"/>
      <c r="J324" s="4"/>
    </row>
    <row r="325" spans="2:10" ht="15" thickBot="1" x14ac:dyDescent="0.4">
      <c r="B325" s="4"/>
      <c r="C325" s="4"/>
      <c r="D325" s="4"/>
      <c r="E325" s="5"/>
      <c r="F325" s="5"/>
      <c r="G325" s="6"/>
      <c r="H325" s="4"/>
      <c r="I325" s="4"/>
      <c r="J325" s="4"/>
    </row>
    <row r="326" spans="2:10" ht="15" thickBot="1" x14ac:dyDescent="0.4">
      <c r="B326" s="4"/>
      <c r="C326" s="4"/>
      <c r="D326" s="4"/>
      <c r="E326" s="5"/>
      <c r="F326" s="5"/>
      <c r="G326" s="6"/>
      <c r="H326" s="4"/>
      <c r="I326" s="4"/>
      <c r="J326" s="4"/>
    </row>
    <row r="327" spans="2:10" ht="15" thickBot="1" x14ac:dyDescent="0.4">
      <c r="B327" s="4"/>
      <c r="C327" s="4"/>
      <c r="D327" s="4"/>
      <c r="E327" s="5"/>
      <c r="F327" s="5"/>
      <c r="G327" s="6"/>
      <c r="H327" s="4"/>
      <c r="I327" s="4"/>
      <c r="J327" s="4"/>
    </row>
    <row r="328" spans="2:10" ht="15" thickBot="1" x14ac:dyDescent="0.4">
      <c r="B328" s="4"/>
      <c r="C328" s="4"/>
      <c r="D328" s="4"/>
      <c r="E328" s="5"/>
      <c r="F328" s="5"/>
      <c r="G328" s="6"/>
      <c r="H328" s="4"/>
      <c r="I328" s="4"/>
      <c r="J328" s="4"/>
    </row>
    <row r="329" spans="2:10" ht="15" thickBot="1" x14ac:dyDescent="0.4">
      <c r="B329" s="4"/>
      <c r="C329" s="4"/>
      <c r="D329" s="4"/>
      <c r="E329" s="5"/>
      <c r="F329" s="5"/>
      <c r="G329" s="6"/>
      <c r="H329" s="4"/>
      <c r="I329" s="4"/>
      <c r="J329" s="4"/>
    </row>
    <row r="330" spans="2:10" ht="15" thickBot="1" x14ac:dyDescent="0.4">
      <c r="B330" s="4"/>
      <c r="C330" s="4"/>
      <c r="D330" s="4"/>
      <c r="E330" s="5"/>
      <c r="F330" s="5"/>
      <c r="G330" s="6"/>
      <c r="H330" s="4"/>
      <c r="I330" s="4"/>
      <c r="J330" s="4"/>
    </row>
    <row r="331" spans="2:10" ht="15" thickBot="1" x14ac:dyDescent="0.4">
      <c r="B331" s="4"/>
      <c r="C331" s="4"/>
      <c r="D331" s="7"/>
      <c r="E331" s="8"/>
      <c r="F331" s="8"/>
      <c r="G331" s="8"/>
      <c r="H331" s="8"/>
      <c r="I331" s="3"/>
      <c r="J331" s="9"/>
    </row>
    <row r="332" spans="2:10" ht="15" thickBot="1" x14ac:dyDescent="0.4">
      <c r="B332" s="4"/>
      <c r="C332" s="4"/>
      <c r="D332" s="7"/>
      <c r="E332" s="8"/>
      <c r="F332" s="8"/>
      <c r="G332" s="8"/>
      <c r="H332" s="8"/>
      <c r="I332" s="8"/>
      <c r="J332" s="4"/>
    </row>
    <row r="333" spans="2:10" ht="15" thickBot="1" x14ac:dyDescent="0.4">
      <c r="B333" s="4"/>
      <c r="C333" s="4"/>
      <c r="D333" s="7"/>
      <c r="E333" s="8"/>
      <c r="F333" s="8"/>
      <c r="G333" s="8"/>
      <c r="H333" s="8"/>
      <c r="I333" s="8"/>
      <c r="J333" s="4"/>
    </row>
    <row r="334" spans="2:10" ht="15" thickBot="1" x14ac:dyDescent="0.4">
      <c r="B334" s="4"/>
      <c r="C334" s="4"/>
      <c r="D334" s="7"/>
      <c r="E334" s="8"/>
      <c r="F334" s="8"/>
      <c r="G334" s="8"/>
      <c r="H334" s="8"/>
      <c r="I334" s="8"/>
      <c r="J334" s="4"/>
    </row>
    <row r="335" spans="2:10" ht="15" thickBot="1" x14ac:dyDescent="0.4">
      <c r="B335" s="4"/>
      <c r="C335" s="4"/>
      <c r="D335" s="7"/>
      <c r="E335" s="8"/>
      <c r="F335" s="8"/>
      <c r="G335" s="8"/>
      <c r="H335" s="8"/>
      <c r="I335" s="8"/>
      <c r="J335" s="4"/>
    </row>
    <row r="336" spans="2:10" ht="15" thickBot="1" x14ac:dyDescent="0.4">
      <c r="B336" s="4"/>
      <c r="C336" s="4"/>
      <c r="D336" s="18"/>
      <c r="E336" s="18"/>
      <c r="F336" s="18"/>
      <c r="G336" s="18"/>
      <c r="H336" s="18"/>
      <c r="I336" s="18"/>
      <c r="J336" s="18"/>
    </row>
    <row r="337" spans="2:10" ht="15" thickBot="1" x14ac:dyDescent="0.4">
      <c r="B337" s="4"/>
      <c r="C337" s="4"/>
      <c r="D337" s="18"/>
      <c r="E337" s="18"/>
      <c r="F337" s="18"/>
      <c r="G337" s="18"/>
      <c r="H337" s="18"/>
      <c r="I337" s="18"/>
      <c r="J337" s="18"/>
    </row>
    <row r="338" spans="2:10" ht="15" thickBot="1" x14ac:dyDescent="0.4">
      <c r="B338" s="4"/>
      <c r="C338" s="4"/>
      <c r="D338" s="18"/>
      <c r="E338" s="18"/>
      <c r="F338" s="18"/>
      <c r="G338" s="18"/>
      <c r="H338" s="18"/>
      <c r="I338" s="18"/>
      <c r="J338" s="18"/>
    </row>
    <row r="339" spans="2:10" ht="15" thickBot="1" x14ac:dyDescent="0.4">
      <c r="B339" s="4"/>
      <c r="C339" s="4"/>
      <c r="D339" s="18"/>
      <c r="E339" s="18"/>
      <c r="F339" s="18"/>
      <c r="G339" s="18"/>
      <c r="H339" s="18"/>
      <c r="I339" s="18"/>
      <c r="J339" s="18"/>
    </row>
    <row r="340" spans="2:10" ht="15" thickBot="1" x14ac:dyDescent="0.4">
      <c r="B340" s="4"/>
      <c r="C340" s="4"/>
      <c r="D340" s="18"/>
      <c r="E340" s="18"/>
      <c r="F340" s="18"/>
      <c r="G340" s="18"/>
      <c r="H340" s="18"/>
      <c r="I340" s="18"/>
      <c r="J340" s="18"/>
    </row>
    <row r="341" spans="2:10" ht="15" thickBot="1" x14ac:dyDescent="0.4">
      <c r="B341" s="4"/>
      <c r="C341" s="4"/>
      <c r="D341" s="4"/>
      <c r="E341" s="4"/>
      <c r="F341" s="4"/>
      <c r="G341" s="4"/>
      <c r="H341" s="4"/>
      <c r="I341" s="4"/>
      <c r="J341" s="4"/>
    </row>
    <row r="342" spans="2:10" ht="15" thickBot="1" x14ac:dyDescent="0.4">
      <c r="B342" s="4"/>
      <c r="C342" s="4"/>
      <c r="D342" s="4"/>
      <c r="E342" s="4"/>
      <c r="F342" s="4"/>
      <c r="G342" s="4"/>
      <c r="H342" s="4"/>
      <c r="I342" s="4"/>
      <c r="J342" s="4"/>
    </row>
    <row r="343" spans="2:10" ht="15" thickBot="1" x14ac:dyDescent="0.4">
      <c r="B343" s="4"/>
      <c r="C343" s="4"/>
      <c r="D343" s="4"/>
      <c r="E343" s="4"/>
      <c r="F343" s="4"/>
      <c r="G343" s="4"/>
      <c r="H343" s="4"/>
      <c r="I343" s="4"/>
      <c r="J343" s="4"/>
    </row>
    <row r="344" spans="2:10" ht="15" thickBot="1" x14ac:dyDescent="0.4">
      <c r="B344" s="4"/>
      <c r="C344" s="4"/>
      <c r="D344" s="19"/>
      <c r="E344" s="10"/>
      <c r="F344" s="10"/>
      <c r="G344" s="10"/>
      <c r="H344" s="4"/>
      <c r="I344" s="4"/>
      <c r="J344" s="18"/>
    </row>
    <row r="345" spans="2:10" ht="15" thickBot="1" x14ac:dyDescent="0.4">
      <c r="B345" s="4"/>
      <c r="C345" s="4"/>
      <c r="D345" s="10"/>
      <c r="E345" s="10"/>
      <c r="F345" s="10"/>
      <c r="G345" s="10"/>
      <c r="H345" s="4"/>
      <c r="I345" s="4"/>
      <c r="J345" s="18"/>
    </row>
    <row r="346" spans="2:10" ht="15" thickBot="1" x14ac:dyDescent="0.4">
      <c r="B346" s="4"/>
      <c r="C346" s="4"/>
      <c r="D346" s="4"/>
      <c r="E346" s="4"/>
      <c r="F346" s="4"/>
      <c r="G346" s="4"/>
      <c r="H346" s="4"/>
      <c r="I346" s="4"/>
      <c r="J346" s="4"/>
    </row>
    <row r="347" spans="2:10" ht="15" thickBot="1" x14ac:dyDescent="0.4">
      <c r="B347" s="4"/>
      <c r="C347" s="4"/>
      <c r="D347" s="4"/>
      <c r="E347" s="4"/>
      <c r="F347" s="4"/>
      <c r="G347" s="4"/>
      <c r="H347" s="4"/>
      <c r="I347" s="4"/>
      <c r="J347" s="4"/>
    </row>
    <row r="348" spans="2:10" ht="15" thickBot="1" x14ac:dyDescent="0.4">
      <c r="B348" s="4"/>
      <c r="C348" s="4"/>
      <c r="D348" s="4"/>
      <c r="E348" s="4"/>
      <c r="F348" s="4"/>
      <c r="G348" s="4"/>
      <c r="H348" s="4"/>
      <c r="I348" s="4"/>
      <c r="J348" s="4"/>
    </row>
    <row r="352" spans="2:10" ht="15" thickBot="1" x14ac:dyDescent="0.4"/>
    <row r="353" spans="2:10" ht="15.5" x14ac:dyDescent="0.35">
      <c r="B353" s="11"/>
      <c r="C353" s="27" t="s">
        <v>59</v>
      </c>
      <c r="D353" s="28"/>
      <c r="E353" s="28"/>
      <c r="F353" s="28"/>
      <c r="G353" s="28"/>
      <c r="H353" s="28"/>
      <c r="I353" s="29"/>
      <c r="J353" s="11"/>
    </row>
    <row r="354" spans="2:10" ht="15.5" x14ac:dyDescent="0.35">
      <c r="B354" s="11"/>
      <c r="C354" s="30"/>
      <c r="D354" s="31"/>
      <c r="E354" s="31"/>
      <c r="F354" s="31"/>
      <c r="G354" s="31"/>
      <c r="H354" s="31"/>
      <c r="I354" s="32"/>
      <c r="J354" s="11"/>
    </row>
    <row r="355" spans="2:10" ht="16" thickBot="1" x14ac:dyDescent="0.4">
      <c r="B355" s="11"/>
      <c r="C355" s="33"/>
      <c r="D355" s="34"/>
      <c r="E355" s="34"/>
      <c r="F355" s="34"/>
      <c r="G355" s="34"/>
      <c r="H355" s="34"/>
      <c r="I355" s="35"/>
      <c r="J355" s="11"/>
    </row>
    <row r="356" spans="2:10" ht="15" thickBot="1" x14ac:dyDescent="0.4"/>
    <row r="357" spans="2:10" ht="15" thickBot="1" x14ac:dyDescent="0.4">
      <c r="C357" s="36" t="s">
        <v>1</v>
      </c>
      <c r="D357" s="37"/>
      <c r="E357" s="38"/>
      <c r="F357" s="42" t="str">
        <f>'pharmacy and challan'!E7</f>
        <v>KABITA GOGOI(ESIC/S.H.R.C.)</v>
      </c>
      <c r="G357" s="43"/>
      <c r="H357" s="43"/>
      <c r="I357" s="43"/>
      <c r="J357" s="12"/>
    </row>
    <row r="358" spans="2:10" ht="15" thickBot="1" x14ac:dyDescent="0.4">
      <c r="C358" s="39"/>
      <c r="D358" s="40"/>
      <c r="E358" s="41"/>
      <c r="F358" s="43"/>
      <c r="G358" s="43"/>
      <c r="H358" s="43"/>
      <c r="I358" s="43"/>
      <c r="J358" s="12"/>
    </row>
    <row r="359" spans="2:10" ht="15" thickBot="1" x14ac:dyDescent="0.4"/>
    <row r="360" spans="2:10" ht="15" thickBot="1" x14ac:dyDescent="0.4">
      <c r="B360" s="10" t="s">
        <v>57</v>
      </c>
      <c r="C360" s="10" t="s">
        <v>58</v>
      </c>
      <c r="D360" s="2" t="s">
        <v>4</v>
      </c>
      <c r="E360" s="2" t="s">
        <v>5</v>
      </c>
      <c r="F360" s="3" t="s">
        <v>6</v>
      </c>
      <c r="G360" s="2" t="s">
        <v>7</v>
      </c>
      <c r="H360" s="2" t="s">
        <v>8</v>
      </c>
      <c r="I360" s="2" t="s">
        <v>60</v>
      </c>
      <c r="J360" s="2" t="s">
        <v>61</v>
      </c>
    </row>
    <row r="361" spans="2:10" ht="15" thickBot="1" x14ac:dyDescent="0.4">
      <c r="B361" s="4"/>
      <c r="C361" s="13"/>
      <c r="D361" s="14"/>
      <c r="E361" s="15"/>
      <c r="F361" s="15"/>
      <c r="G361" s="16"/>
      <c r="H361" s="14"/>
      <c r="I361" s="14"/>
      <c r="J361" s="15"/>
    </row>
    <row r="362" spans="2:10" ht="15" thickBot="1" x14ac:dyDescent="0.4">
      <c r="B362" s="4"/>
      <c r="C362" s="10"/>
      <c r="D362" s="14"/>
      <c r="E362" s="15"/>
      <c r="F362" s="15"/>
      <c r="G362" s="16"/>
      <c r="H362" s="14"/>
      <c r="I362" s="14"/>
      <c r="J362" s="15"/>
    </row>
    <row r="363" spans="2:10" ht="15" thickBot="1" x14ac:dyDescent="0.4">
      <c r="B363" s="4"/>
      <c r="C363" s="4"/>
      <c r="D363" s="14"/>
      <c r="E363" s="15"/>
      <c r="F363" s="15"/>
      <c r="G363" s="16"/>
      <c r="H363" s="14"/>
      <c r="I363" s="14"/>
      <c r="J363" s="15"/>
    </row>
    <row r="364" spans="2:10" ht="15" thickBot="1" x14ac:dyDescent="0.4">
      <c r="B364" s="4"/>
      <c r="C364" s="4"/>
      <c r="D364" s="14"/>
      <c r="E364" s="15"/>
      <c r="F364" s="15"/>
      <c r="G364" s="16"/>
      <c r="H364" s="14"/>
      <c r="I364" s="14"/>
      <c r="J364" s="15"/>
    </row>
    <row r="365" spans="2:10" ht="15" thickBot="1" x14ac:dyDescent="0.4">
      <c r="B365" s="4"/>
      <c r="C365" s="4"/>
      <c r="D365" s="14"/>
      <c r="E365" s="15"/>
      <c r="F365" s="15"/>
      <c r="G365" s="16"/>
      <c r="H365" s="14"/>
      <c r="I365" s="14"/>
      <c r="J365" s="15"/>
    </row>
    <row r="366" spans="2:10" ht="15" thickBot="1" x14ac:dyDescent="0.4">
      <c r="B366" s="4"/>
      <c r="C366" s="4"/>
      <c r="D366" s="14"/>
      <c r="E366" s="15"/>
      <c r="F366" s="15"/>
      <c r="G366" s="16"/>
      <c r="H366" s="14"/>
      <c r="I366" s="14"/>
      <c r="J366" s="15"/>
    </row>
    <row r="367" spans="2:10" ht="15" thickBot="1" x14ac:dyDescent="0.4">
      <c r="B367" s="4"/>
      <c r="C367" s="4"/>
      <c r="D367" s="14"/>
      <c r="E367" s="15"/>
      <c r="F367" s="15"/>
      <c r="G367" s="16"/>
      <c r="H367" s="14"/>
      <c r="I367" s="14"/>
      <c r="J367" s="15"/>
    </row>
    <row r="368" spans="2:10" ht="15" thickBot="1" x14ac:dyDescent="0.4">
      <c r="B368" s="4"/>
      <c r="C368" s="4"/>
      <c r="D368" s="14"/>
      <c r="E368" s="15"/>
      <c r="F368" s="15"/>
      <c r="G368" s="16"/>
      <c r="H368" s="14"/>
      <c r="I368" s="14"/>
      <c r="J368" s="15"/>
    </row>
    <row r="369" spans="2:10" ht="15" thickBot="1" x14ac:dyDescent="0.4">
      <c r="B369" s="4"/>
      <c r="C369" s="4"/>
      <c r="D369" s="14"/>
      <c r="E369" s="15"/>
      <c r="F369" s="15"/>
      <c r="G369" s="16"/>
      <c r="H369" s="14"/>
      <c r="I369" s="14"/>
      <c r="J369" s="15"/>
    </row>
    <row r="370" spans="2:10" ht="15" thickBot="1" x14ac:dyDescent="0.4">
      <c r="B370" s="4"/>
      <c r="C370" s="4"/>
      <c r="D370" s="14"/>
      <c r="E370" s="15"/>
      <c r="F370" s="15"/>
      <c r="G370" s="16"/>
      <c r="H370" s="14"/>
      <c r="I370" s="14"/>
      <c r="J370" s="15"/>
    </row>
    <row r="371" spans="2:10" ht="15" thickBot="1" x14ac:dyDescent="0.4">
      <c r="B371" s="4"/>
      <c r="C371" s="4"/>
      <c r="D371" s="14"/>
      <c r="E371" s="15"/>
      <c r="F371" s="15"/>
      <c r="G371" s="16"/>
      <c r="H371" s="14"/>
      <c r="I371" s="14"/>
      <c r="J371" s="15"/>
    </row>
    <row r="372" spans="2:10" ht="15" thickBot="1" x14ac:dyDescent="0.4">
      <c r="B372" s="4"/>
      <c r="C372" s="4"/>
      <c r="D372" s="17"/>
      <c r="E372" s="20"/>
      <c r="F372" s="20"/>
      <c r="G372" s="20"/>
      <c r="H372" s="20"/>
      <c r="I372" s="20"/>
      <c r="J372" s="17"/>
    </row>
    <row r="373" spans="2:10" ht="15" thickBot="1" x14ac:dyDescent="0.4">
      <c r="B373" s="4"/>
      <c r="C373" s="4"/>
      <c r="D373" s="4"/>
      <c r="E373" s="5"/>
      <c r="F373" s="5"/>
      <c r="G373" s="6"/>
      <c r="H373" s="4"/>
      <c r="I373" s="4"/>
      <c r="J373" s="4"/>
    </row>
    <row r="374" spans="2:10" ht="15" thickBot="1" x14ac:dyDescent="0.4">
      <c r="B374" s="4"/>
      <c r="C374" s="4"/>
      <c r="D374" s="4"/>
      <c r="E374" s="5"/>
      <c r="F374" s="5"/>
      <c r="G374" s="6"/>
      <c r="H374" s="4"/>
      <c r="I374" s="4"/>
      <c r="J374" s="4"/>
    </row>
    <row r="375" spans="2:10" ht="15" thickBot="1" x14ac:dyDescent="0.4">
      <c r="B375" s="4"/>
      <c r="C375" s="4"/>
      <c r="D375" s="4"/>
      <c r="E375" s="5"/>
      <c r="F375" s="5"/>
      <c r="G375" s="6"/>
      <c r="H375" s="4"/>
      <c r="I375" s="4"/>
      <c r="J375" s="4"/>
    </row>
    <row r="376" spans="2:10" ht="15" thickBot="1" x14ac:dyDescent="0.4">
      <c r="B376" s="4"/>
      <c r="C376" s="4"/>
      <c r="D376" s="4"/>
      <c r="E376" s="5"/>
      <c r="F376" s="5"/>
      <c r="G376" s="6"/>
      <c r="H376" s="4"/>
      <c r="I376" s="4"/>
      <c r="J376" s="4"/>
    </row>
    <row r="377" spans="2:10" ht="15" thickBot="1" x14ac:dyDescent="0.4">
      <c r="B377" s="4"/>
      <c r="C377" s="4"/>
      <c r="D377" s="4"/>
      <c r="E377" s="5"/>
      <c r="F377" s="5"/>
      <c r="G377" s="6"/>
      <c r="H377" s="4"/>
      <c r="I377" s="4"/>
      <c r="J377" s="4"/>
    </row>
    <row r="378" spans="2:10" ht="15" thickBot="1" x14ac:dyDescent="0.4">
      <c r="B378" s="4"/>
      <c r="C378" s="4"/>
      <c r="D378" s="4"/>
      <c r="E378" s="5"/>
      <c r="F378" s="5"/>
      <c r="G378" s="6"/>
      <c r="H378" s="4"/>
      <c r="I378" s="4"/>
      <c r="J378" s="4"/>
    </row>
    <row r="379" spans="2:10" ht="15" thickBot="1" x14ac:dyDescent="0.4">
      <c r="B379" s="4"/>
      <c r="C379" s="4"/>
      <c r="D379" s="4"/>
      <c r="E379" s="5"/>
      <c r="F379" s="5"/>
      <c r="G379" s="6"/>
      <c r="H379" s="4"/>
      <c r="I379" s="4"/>
      <c r="J379" s="4"/>
    </row>
    <row r="380" spans="2:10" ht="15" thickBot="1" x14ac:dyDescent="0.4">
      <c r="B380" s="4"/>
      <c r="C380" s="4"/>
      <c r="D380" s="4"/>
      <c r="E380" s="5"/>
      <c r="F380" s="5"/>
      <c r="G380" s="6"/>
      <c r="H380" s="4"/>
      <c r="I380" s="4"/>
      <c r="J380" s="4"/>
    </row>
    <row r="381" spans="2:10" ht="15" thickBot="1" x14ac:dyDescent="0.4">
      <c r="B381" s="4"/>
      <c r="C381" s="4"/>
      <c r="D381" s="7"/>
      <c r="E381" s="8"/>
      <c r="F381" s="8"/>
      <c r="G381" s="8"/>
      <c r="H381" s="8"/>
      <c r="I381" s="3"/>
      <c r="J381" s="9"/>
    </row>
    <row r="382" spans="2:10" ht="15" thickBot="1" x14ac:dyDescent="0.4">
      <c r="B382" s="4"/>
      <c r="C382" s="4"/>
      <c r="D382" s="7"/>
      <c r="E382" s="8"/>
      <c r="F382" s="8"/>
      <c r="G382" s="8"/>
      <c r="H382" s="8"/>
      <c r="I382" s="8"/>
      <c r="J382" s="4"/>
    </row>
    <row r="383" spans="2:10" ht="15" thickBot="1" x14ac:dyDescent="0.4">
      <c r="B383" s="4"/>
      <c r="C383" s="4"/>
      <c r="D383" s="7"/>
      <c r="E383" s="8"/>
      <c r="F383" s="8"/>
      <c r="G383" s="8"/>
      <c r="H383" s="8"/>
      <c r="I383" s="8"/>
      <c r="J383" s="4"/>
    </row>
    <row r="384" spans="2:10" ht="15" thickBot="1" x14ac:dyDescent="0.4">
      <c r="B384" s="4"/>
      <c r="C384" s="4"/>
      <c r="D384" s="7"/>
      <c r="E384" s="8"/>
      <c r="F384" s="8"/>
      <c r="G384" s="8"/>
      <c r="H384" s="8"/>
      <c r="I384" s="8"/>
      <c r="J384" s="4"/>
    </row>
    <row r="385" spans="2:10" ht="15" thickBot="1" x14ac:dyDescent="0.4">
      <c r="B385" s="4"/>
      <c r="C385" s="4"/>
      <c r="D385" s="7"/>
      <c r="E385" s="8"/>
      <c r="F385" s="8"/>
      <c r="G385" s="8"/>
      <c r="H385" s="8"/>
      <c r="I385" s="8"/>
      <c r="J385" s="4"/>
    </row>
    <row r="386" spans="2:10" ht="15" thickBot="1" x14ac:dyDescent="0.4">
      <c r="B386" s="4"/>
      <c r="C386" s="4"/>
      <c r="D386" s="18"/>
      <c r="E386" s="18"/>
      <c r="F386" s="18"/>
      <c r="G386" s="18"/>
      <c r="H386" s="18"/>
      <c r="I386" s="18"/>
      <c r="J386" s="18"/>
    </row>
    <row r="387" spans="2:10" ht="15" thickBot="1" x14ac:dyDescent="0.4">
      <c r="B387" s="4"/>
      <c r="C387" s="4"/>
      <c r="D387" s="18"/>
      <c r="E387" s="18"/>
      <c r="F387" s="18"/>
      <c r="G387" s="18"/>
      <c r="H387" s="18"/>
      <c r="I387" s="18"/>
      <c r="J387" s="18"/>
    </row>
    <row r="388" spans="2:10" ht="15" thickBot="1" x14ac:dyDescent="0.4">
      <c r="B388" s="4"/>
      <c r="C388" s="4"/>
      <c r="D388" s="18"/>
      <c r="E388" s="18"/>
      <c r="F388" s="18"/>
      <c r="G388" s="18"/>
      <c r="H388" s="18"/>
      <c r="I388" s="18"/>
      <c r="J388" s="18"/>
    </row>
    <row r="389" spans="2:10" ht="15" thickBot="1" x14ac:dyDescent="0.4">
      <c r="B389" s="4"/>
      <c r="C389" s="4"/>
      <c r="D389" s="18"/>
      <c r="E389" s="18"/>
      <c r="F389" s="18"/>
      <c r="G389" s="18"/>
      <c r="H389" s="18"/>
      <c r="I389" s="18"/>
      <c r="J389" s="18"/>
    </row>
    <row r="390" spans="2:10" ht="15" thickBot="1" x14ac:dyDescent="0.4">
      <c r="B390" s="4"/>
      <c r="C390" s="4"/>
      <c r="D390" s="18"/>
      <c r="E390" s="18"/>
      <c r="F390" s="18"/>
      <c r="G390" s="18"/>
      <c r="H390" s="18"/>
      <c r="I390" s="18"/>
      <c r="J390" s="18"/>
    </row>
    <row r="391" spans="2:10" ht="15" thickBot="1" x14ac:dyDescent="0.4">
      <c r="B391" s="4"/>
      <c r="C391" s="4"/>
      <c r="D391" s="4"/>
      <c r="E391" s="4"/>
      <c r="F391" s="4"/>
      <c r="G391" s="4"/>
      <c r="H391" s="4"/>
      <c r="I391" s="4"/>
      <c r="J391" s="4"/>
    </row>
    <row r="392" spans="2:10" ht="15" thickBot="1" x14ac:dyDescent="0.4">
      <c r="B392" s="4"/>
      <c r="C392" s="4"/>
      <c r="D392" s="4"/>
      <c r="E392" s="4"/>
      <c r="F392" s="4"/>
      <c r="G392" s="4"/>
      <c r="H392" s="4"/>
      <c r="I392" s="4"/>
      <c r="J392" s="4"/>
    </row>
    <row r="393" spans="2:10" ht="15" thickBot="1" x14ac:dyDescent="0.4">
      <c r="B393" s="4"/>
      <c r="C393" s="4"/>
      <c r="D393" s="4"/>
      <c r="E393" s="4"/>
      <c r="F393" s="4"/>
      <c r="G393" s="4"/>
      <c r="H393" s="4"/>
      <c r="I393" s="4"/>
      <c r="J393" s="4"/>
    </row>
    <row r="394" spans="2:10" ht="15" thickBot="1" x14ac:dyDescent="0.4">
      <c r="B394" s="4"/>
      <c r="C394" s="4"/>
      <c r="D394" s="19"/>
      <c r="E394" s="10"/>
      <c r="F394" s="10"/>
      <c r="G394" s="10"/>
      <c r="H394" s="4"/>
      <c r="I394" s="4"/>
      <c r="J394" s="18"/>
    </row>
    <row r="395" spans="2:10" ht="15" thickBot="1" x14ac:dyDescent="0.4">
      <c r="B395" s="4"/>
      <c r="C395" s="4"/>
      <c r="D395" s="10"/>
      <c r="E395" s="10"/>
      <c r="F395" s="10"/>
      <c r="G395" s="10"/>
      <c r="H395" s="4"/>
      <c r="I395" s="4"/>
      <c r="J395" s="18"/>
    </row>
    <row r="396" spans="2:10" ht="15" thickBot="1" x14ac:dyDescent="0.4">
      <c r="B396" s="4"/>
      <c r="C396" s="4"/>
      <c r="D396" s="4"/>
      <c r="E396" s="4"/>
      <c r="F396" s="4"/>
      <c r="G396" s="4"/>
      <c r="H396" s="4"/>
      <c r="I396" s="4"/>
      <c r="J396" s="4"/>
    </row>
    <row r="397" spans="2:10" ht="15" thickBot="1" x14ac:dyDescent="0.4">
      <c r="B397" s="4"/>
      <c r="C397" s="4"/>
      <c r="D397" s="4"/>
      <c r="E397" s="4"/>
      <c r="F397" s="4"/>
      <c r="G397" s="4"/>
      <c r="H397" s="4"/>
      <c r="I397" s="4"/>
      <c r="J397" s="4"/>
    </row>
    <row r="398" spans="2:10" ht="15" thickBot="1" x14ac:dyDescent="0.4">
      <c r="B398" s="4"/>
      <c r="C398" s="4"/>
      <c r="D398" s="4"/>
      <c r="E398" s="4"/>
      <c r="F398" s="4"/>
      <c r="G398" s="4"/>
      <c r="H398" s="4"/>
      <c r="I398" s="4"/>
      <c r="J398" s="4"/>
    </row>
  </sheetData>
  <mergeCells count="24">
    <mergeCell ref="C303:I305"/>
    <mergeCell ref="C307:E308"/>
    <mergeCell ref="F307:I308"/>
    <mergeCell ref="C353:I355"/>
    <mergeCell ref="C357:E358"/>
    <mergeCell ref="F357:I358"/>
    <mergeCell ref="C203:I205"/>
    <mergeCell ref="C207:E208"/>
    <mergeCell ref="F207:I208"/>
    <mergeCell ref="C253:I255"/>
    <mergeCell ref="C257:E258"/>
    <mergeCell ref="F257:I258"/>
    <mergeCell ref="C103:I105"/>
    <mergeCell ref="C107:E108"/>
    <mergeCell ref="F107:I108"/>
    <mergeCell ref="C153:I155"/>
    <mergeCell ref="C157:E158"/>
    <mergeCell ref="F157:I158"/>
    <mergeCell ref="C2:I4"/>
    <mergeCell ref="C6:E7"/>
    <mergeCell ref="F6:I7"/>
    <mergeCell ref="C52:I54"/>
    <mergeCell ref="C56:E57"/>
    <mergeCell ref="F56:I57"/>
  </mergeCells>
  <pageMargins left="0" right="0" top="0" bottom="0" header="0" footer="0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H48"/>
  <sheetViews>
    <sheetView topLeftCell="A24" workbookViewId="0">
      <selection sqref="A1:H48"/>
    </sheetView>
  </sheetViews>
  <sheetFormatPr defaultRowHeight="14.5" x14ac:dyDescent="0.35"/>
  <cols>
    <col min="2" max="2" width="20.26953125" bestFit="1" customWidth="1"/>
    <col min="3" max="3" width="6.453125" bestFit="1" customWidth="1"/>
    <col min="4" max="4" width="13.81640625" bestFit="1" customWidth="1"/>
    <col min="5" max="5" width="7.1796875" bestFit="1" customWidth="1"/>
    <col min="6" max="6" width="5.7265625" bestFit="1" customWidth="1"/>
    <col min="7" max="7" width="9.453125" bestFit="1" customWidth="1"/>
    <col min="8" max="8" width="17.81640625" bestFit="1" customWidth="1"/>
  </cols>
  <sheetData>
    <row r="1" spans="2:8" ht="15" thickBot="1" x14ac:dyDescent="0.4"/>
    <row r="2" spans="2:8" x14ac:dyDescent="0.35">
      <c r="B2" s="44" t="s">
        <v>0</v>
      </c>
      <c r="C2" s="45"/>
      <c r="D2" s="45"/>
      <c r="E2" s="45"/>
      <c r="F2" s="45"/>
      <c r="G2" s="45"/>
      <c r="H2" s="46"/>
    </row>
    <row r="3" spans="2:8" x14ac:dyDescent="0.35">
      <c r="B3" s="47"/>
      <c r="C3" s="48"/>
      <c r="D3" s="48"/>
      <c r="E3" s="48"/>
      <c r="F3" s="48"/>
      <c r="G3" s="48"/>
      <c r="H3" s="49"/>
    </row>
    <row r="4" spans="2:8" x14ac:dyDescent="0.35">
      <c r="B4" s="47"/>
      <c r="C4" s="48"/>
      <c r="D4" s="48"/>
      <c r="E4" s="48"/>
      <c r="F4" s="48"/>
      <c r="G4" s="48"/>
      <c r="H4" s="49"/>
    </row>
    <row r="5" spans="2:8" ht="15" thickBot="1" x14ac:dyDescent="0.4">
      <c r="B5" s="50"/>
      <c r="C5" s="51"/>
      <c r="D5" s="51"/>
      <c r="E5" s="51"/>
      <c r="F5" s="51"/>
      <c r="G5" s="51"/>
      <c r="H5" s="52"/>
    </row>
    <row r="6" spans="2:8" ht="15" thickBot="1" x14ac:dyDescent="0.4"/>
    <row r="7" spans="2:8" ht="15" thickBot="1" x14ac:dyDescent="0.4">
      <c r="B7" s="54" t="s">
        <v>1</v>
      </c>
      <c r="C7" s="54"/>
      <c r="D7" s="54"/>
      <c r="E7" s="42" t="str">
        <f>'pharmacy and challan'!E7</f>
        <v>KABITA GOGOI(ESIC/S.H.R.C.)</v>
      </c>
      <c r="F7" s="43"/>
      <c r="G7" s="43"/>
      <c r="H7" s="43"/>
    </row>
    <row r="8" spans="2:8" ht="15" thickBot="1" x14ac:dyDescent="0.4">
      <c r="B8" s="54"/>
      <c r="C8" s="54"/>
      <c r="D8" s="54"/>
      <c r="E8" s="43"/>
      <c r="F8" s="43"/>
      <c r="G8" s="43"/>
      <c r="H8" s="43"/>
    </row>
    <row r="9" spans="2:8" ht="15" thickBot="1" x14ac:dyDescent="0.4">
      <c r="B9" s="61"/>
      <c r="C9" s="61"/>
      <c r="D9" s="61"/>
      <c r="E9" s="61"/>
      <c r="F9" s="61"/>
      <c r="G9" s="61"/>
      <c r="H9" s="61"/>
    </row>
    <row r="11" spans="2:8" x14ac:dyDescent="0.35">
      <c r="B11" s="1" t="s">
        <v>2</v>
      </c>
      <c r="G11" s="1" t="s">
        <v>3</v>
      </c>
    </row>
    <row r="12" spans="2:8" ht="15" thickBot="1" x14ac:dyDescent="0.4"/>
    <row r="13" spans="2:8" ht="15" thickBot="1" x14ac:dyDescent="0.4">
      <c r="B13" s="2" t="s">
        <v>4</v>
      </c>
      <c r="C13" s="2" t="s">
        <v>5</v>
      </c>
      <c r="D13" s="3" t="s">
        <v>6</v>
      </c>
      <c r="E13" s="2" t="s">
        <v>7</v>
      </c>
      <c r="F13" s="2" t="s">
        <v>8</v>
      </c>
      <c r="G13" s="2" t="s">
        <v>9</v>
      </c>
      <c r="H13" s="2" t="s">
        <v>10</v>
      </c>
    </row>
    <row r="14" spans="2:8" ht="15" thickBot="1" x14ac:dyDescent="0.4">
      <c r="B14" s="4" t="s">
        <v>11</v>
      </c>
      <c r="C14" s="5" t="s">
        <v>12</v>
      </c>
      <c r="D14" s="5" t="s">
        <v>13</v>
      </c>
      <c r="E14" s="6">
        <v>45133</v>
      </c>
      <c r="F14" s="4">
        <v>90</v>
      </c>
      <c r="G14" s="4">
        <v>1</v>
      </c>
      <c r="H14" s="4">
        <f>F14*G14</f>
        <v>90</v>
      </c>
    </row>
    <row r="15" spans="2:8" ht="15" thickBot="1" x14ac:dyDescent="0.4">
      <c r="B15" s="4" t="s">
        <v>14</v>
      </c>
      <c r="C15" s="5" t="s">
        <v>15</v>
      </c>
      <c r="D15" s="5" t="s">
        <v>16</v>
      </c>
      <c r="E15" s="6">
        <v>45102</v>
      </c>
      <c r="F15" s="4">
        <v>90</v>
      </c>
      <c r="G15" s="4">
        <v>1</v>
      </c>
      <c r="H15" s="4">
        <f t="shared" ref="H15:H38" si="0">F15*G15</f>
        <v>90</v>
      </c>
    </row>
    <row r="16" spans="2:8" ht="15" thickBot="1" x14ac:dyDescent="0.4">
      <c r="B16" s="4" t="s">
        <v>17</v>
      </c>
      <c r="C16" s="5" t="s">
        <v>18</v>
      </c>
      <c r="D16" s="5" t="s">
        <v>19</v>
      </c>
      <c r="E16" s="6">
        <v>44950</v>
      </c>
      <c r="F16" s="4">
        <v>631</v>
      </c>
      <c r="G16" s="4">
        <v>1</v>
      </c>
      <c r="H16" s="4">
        <f t="shared" si="0"/>
        <v>631</v>
      </c>
    </row>
    <row r="17" spans="2:8" ht="15" thickBot="1" x14ac:dyDescent="0.4">
      <c r="B17" s="4" t="s">
        <v>20</v>
      </c>
      <c r="C17" s="5" t="s">
        <v>21</v>
      </c>
      <c r="D17" s="5" t="s">
        <v>19</v>
      </c>
      <c r="E17" s="6">
        <v>45195</v>
      </c>
      <c r="F17" s="4">
        <v>59</v>
      </c>
      <c r="G17" s="4">
        <v>3</v>
      </c>
      <c r="H17" s="4">
        <f t="shared" si="0"/>
        <v>177</v>
      </c>
    </row>
    <row r="18" spans="2:8" ht="15" thickBot="1" x14ac:dyDescent="0.4">
      <c r="B18" s="4" t="s">
        <v>22</v>
      </c>
      <c r="C18" s="5"/>
      <c r="D18" s="5"/>
      <c r="E18" s="4"/>
      <c r="F18" s="4">
        <v>10</v>
      </c>
      <c r="G18" s="4">
        <v>8</v>
      </c>
      <c r="H18" s="4">
        <f t="shared" si="0"/>
        <v>80</v>
      </c>
    </row>
    <row r="19" spans="2:8" ht="15" thickBot="1" x14ac:dyDescent="0.4">
      <c r="B19" s="4" t="s">
        <v>23</v>
      </c>
      <c r="C19" s="5"/>
      <c r="D19" s="5"/>
      <c r="E19" s="4"/>
      <c r="F19" s="4">
        <v>10</v>
      </c>
      <c r="G19" s="4">
        <v>8</v>
      </c>
      <c r="H19" s="4">
        <f t="shared" si="0"/>
        <v>80</v>
      </c>
    </row>
    <row r="20" spans="2:8" ht="15" thickBot="1" x14ac:dyDescent="0.4">
      <c r="B20" s="4" t="s">
        <v>24</v>
      </c>
      <c r="C20" s="5" t="s">
        <v>25</v>
      </c>
      <c r="D20" s="5" t="s">
        <v>26</v>
      </c>
      <c r="E20" s="6">
        <v>45101</v>
      </c>
      <c r="F20" s="4">
        <v>432</v>
      </c>
      <c r="G20" s="4">
        <v>1</v>
      </c>
      <c r="H20" s="4">
        <f t="shared" si="0"/>
        <v>432</v>
      </c>
    </row>
    <row r="21" spans="2:8" ht="15" thickBot="1" x14ac:dyDescent="0.4">
      <c r="B21" s="4" t="s">
        <v>27</v>
      </c>
      <c r="C21" s="5">
        <v>23394</v>
      </c>
      <c r="D21" s="5" t="s">
        <v>16</v>
      </c>
      <c r="E21" s="6">
        <v>45070</v>
      </c>
      <c r="F21" s="4">
        <v>62</v>
      </c>
      <c r="G21" s="4">
        <v>1</v>
      </c>
      <c r="H21" s="4">
        <f t="shared" si="0"/>
        <v>62</v>
      </c>
    </row>
    <row r="22" spans="2:8" ht="15" thickBot="1" x14ac:dyDescent="0.4">
      <c r="B22" s="4" t="s">
        <v>28</v>
      </c>
      <c r="C22" s="5">
        <v>40121</v>
      </c>
      <c r="D22" s="5" t="s">
        <v>29</v>
      </c>
      <c r="E22" s="6">
        <v>45285</v>
      </c>
      <c r="F22" s="4">
        <v>5.5</v>
      </c>
      <c r="G22" s="4">
        <v>1</v>
      </c>
      <c r="H22" s="4">
        <f t="shared" si="0"/>
        <v>5.5</v>
      </c>
    </row>
    <row r="23" spans="2:8" ht="15" thickBot="1" x14ac:dyDescent="0.4">
      <c r="B23" s="4" t="s">
        <v>30</v>
      </c>
      <c r="C23" s="5" t="s">
        <v>31</v>
      </c>
      <c r="D23" s="5" t="s">
        <v>32</v>
      </c>
      <c r="E23" s="6">
        <v>44984</v>
      </c>
      <c r="F23" s="4">
        <v>211</v>
      </c>
      <c r="G23" s="4">
        <v>1</v>
      </c>
      <c r="H23" s="4">
        <f t="shared" si="0"/>
        <v>211</v>
      </c>
    </row>
    <row r="24" spans="2:8" ht="15" thickBot="1" x14ac:dyDescent="0.4">
      <c r="B24" s="4" t="s">
        <v>33</v>
      </c>
      <c r="C24" s="5">
        <v>713</v>
      </c>
      <c r="D24" s="5" t="s">
        <v>16</v>
      </c>
      <c r="E24" s="6">
        <v>45196</v>
      </c>
      <c r="F24" s="4">
        <v>176</v>
      </c>
      <c r="G24" s="4">
        <v>2</v>
      </c>
      <c r="H24" s="4">
        <f t="shared" si="0"/>
        <v>352</v>
      </c>
    </row>
    <row r="25" spans="2:8" ht="15" thickBot="1" x14ac:dyDescent="0.4">
      <c r="B25" s="4" t="s">
        <v>34</v>
      </c>
      <c r="C25" s="5">
        <v>8092</v>
      </c>
      <c r="D25" s="5" t="s">
        <v>26</v>
      </c>
      <c r="E25" s="6">
        <v>45039</v>
      </c>
      <c r="F25" s="4">
        <v>4.0999999999999996</v>
      </c>
      <c r="G25" s="4">
        <v>1</v>
      </c>
      <c r="H25" s="4">
        <f t="shared" si="0"/>
        <v>4.0999999999999996</v>
      </c>
    </row>
    <row r="26" spans="2:8" ht="15" thickBot="1" x14ac:dyDescent="0.4">
      <c r="B26" s="4" t="s">
        <v>35</v>
      </c>
      <c r="C26" s="5" t="s">
        <v>36</v>
      </c>
      <c r="D26" s="5" t="s">
        <v>37</v>
      </c>
      <c r="E26" s="6">
        <v>45069</v>
      </c>
      <c r="F26" s="4">
        <v>18.5</v>
      </c>
      <c r="G26" s="4">
        <v>1</v>
      </c>
      <c r="H26" s="4">
        <f t="shared" si="0"/>
        <v>18.5</v>
      </c>
    </row>
    <row r="27" spans="2:8" ht="15" thickBot="1" x14ac:dyDescent="0.4">
      <c r="B27" s="4" t="s">
        <v>38</v>
      </c>
      <c r="C27" s="5">
        <v>2024</v>
      </c>
      <c r="D27" s="5" t="s">
        <v>26</v>
      </c>
      <c r="E27" s="6">
        <v>45070</v>
      </c>
      <c r="F27" s="4">
        <v>39.93</v>
      </c>
      <c r="G27" s="4">
        <v>3</v>
      </c>
      <c r="H27" s="4">
        <f t="shared" si="0"/>
        <v>119.78999999999999</v>
      </c>
    </row>
    <row r="28" spans="2:8" ht="15" thickBot="1" x14ac:dyDescent="0.4">
      <c r="B28" s="4" t="s">
        <v>39</v>
      </c>
      <c r="C28" s="5">
        <v>92365</v>
      </c>
      <c r="D28" s="5" t="s">
        <v>16</v>
      </c>
      <c r="E28" s="6">
        <v>45163</v>
      </c>
      <c r="F28" s="4">
        <v>810</v>
      </c>
      <c r="G28" s="4">
        <v>1</v>
      </c>
      <c r="H28" s="4">
        <f t="shared" si="0"/>
        <v>810</v>
      </c>
    </row>
    <row r="29" spans="2:8" ht="15" thickBot="1" x14ac:dyDescent="0.4">
      <c r="B29" s="4" t="s">
        <v>40</v>
      </c>
      <c r="C29" s="5" t="s">
        <v>41</v>
      </c>
      <c r="D29" s="5" t="s">
        <v>42</v>
      </c>
      <c r="E29" s="6">
        <v>44950</v>
      </c>
      <c r="F29" s="4">
        <v>160</v>
      </c>
      <c r="G29" s="4">
        <v>1</v>
      </c>
      <c r="H29" s="4">
        <f t="shared" si="0"/>
        <v>160</v>
      </c>
    </row>
    <row r="30" spans="2:8" ht="15" thickBot="1" x14ac:dyDescent="0.4">
      <c r="B30" s="4" t="s">
        <v>43</v>
      </c>
      <c r="C30" s="5" t="s">
        <v>44</v>
      </c>
      <c r="D30" s="5" t="s">
        <v>19</v>
      </c>
      <c r="E30" s="6">
        <v>45011</v>
      </c>
      <c r="F30" s="4">
        <v>213</v>
      </c>
      <c r="G30" s="4">
        <v>2</v>
      </c>
      <c r="H30" s="4">
        <f t="shared" si="0"/>
        <v>426</v>
      </c>
    </row>
    <row r="31" spans="2:8" ht="15" thickBot="1" x14ac:dyDescent="0.4">
      <c r="B31" s="4" t="s">
        <v>45</v>
      </c>
      <c r="C31" s="5" t="s">
        <v>46</v>
      </c>
      <c r="D31" s="5" t="s">
        <v>19</v>
      </c>
      <c r="E31" s="6">
        <v>45161</v>
      </c>
      <c r="F31" s="4">
        <v>156</v>
      </c>
      <c r="G31" s="4">
        <v>2</v>
      </c>
      <c r="H31" s="4">
        <f t="shared" si="0"/>
        <v>312</v>
      </c>
    </row>
    <row r="32" spans="2:8" ht="15" thickBot="1" x14ac:dyDescent="0.4">
      <c r="B32" s="4" t="s">
        <v>47</v>
      </c>
      <c r="C32" s="5">
        <v>5061</v>
      </c>
      <c r="D32" s="5" t="s">
        <v>48</v>
      </c>
      <c r="E32" s="6">
        <v>45193</v>
      </c>
      <c r="F32" s="4">
        <v>153</v>
      </c>
      <c r="G32" s="4">
        <v>1</v>
      </c>
      <c r="H32" s="4">
        <f t="shared" si="0"/>
        <v>153</v>
      </c>
    </row>
    <row r="33" spans="2:8" ht="15" thickBot="1" x14ac:dyDescent="0.4">
      <c r="B33" s="4" t="s">
        <v>49</v>
      </c>
      <c r="C33" s="5">
        <v>1046</v>
      </c>
      <c r="D33" s="5" t="s">
        <v>26</v>
      </c>
      <c r="E33" s="6">
        <v>45161</v>
      </c>
      <c r="F33" s="4">
        <v>35</v>
      </c>
      <c r="G33" s="4">
        <v>1</v>
      </c>
      <c r="H33" s="4">
        <f t="shared" si="0"/>
        <v>35</v>
      </c>
    </row>
    <row r="34" spans="2:8" ht="15" thickBot="1" x14ac:dyDescent="0.4">
      <c r="B34" s="7"/>
      <c r="C34" s="8"/>
      <c r="D34" s="8"/>
      <c r="E34" s="8"/>
      <c r="F34" s="8"/>
      <c r="G34" s="8"/>
      <c r="H34" s="4">
        <f t="shared" si="0"/>
        <v>0</v>
      </c>
    </row>
    <row r="35" spans="2:8" ht="15" thickBot="1" x14ac:dyDescent="0.4">
      <c r="B35" s="7"/>
      <c r="C35" s="8"/>
      <c r="D35" s="8"/>
      <c r="E35" s="8"/>
      <c r="F35" s="8"/>
      <c r="G35" s="8"/>
      <c r="H35" s="4">
        <f t="shared" si="0"/>
        <v>0</v>
      </c>
    </row>
    <row r="36" spans="2:8" ht="15" thickBot="1" x14ac:dyDescent="0.4">
      <c r="B36" s="7"/>
      <c r="C36" s="8"/>
      <c r="D36" s="8"/>
      <c r="E36" s="8"/>
      <c r="F36" s="8"/>
      <c r="G36" s="8"/>
      <c r="H36" s="4">
        <f t="shared" si="0"/>
        <v>0</v>
      </c>
    </row>
    <row r="37" spans="2:8" ht="15" thickBot="1" x14ac:dyDescent="0.4">
      <c r="B37" s="7"/>
      <c r="C37" s="8"/>
      <c r="D37" s="8"/>
      <c r="E37" s="8"/>
      <c r="F37" s="8"/>
      <c r="G37" s="8"/>
      <c r="H37" s="4">
        <f t="shared" si="0"/>
        <v>0</v>
      </c>
    </row>
    <row r="38" spans="2:8" ht="15" thickBot="1" x14ac:dyDescent="0.4">
      <c r="B38" s="7"/>
      <c r="C38" s="8"/>
      <c r="D38" s="8"/>
      <c r="E38" s="8"/>
      <c r="F38" s="8"/>
      <c r="G38" s="8"/>
      <c r="H38" s="4">
        <f t="shared" si="0"/>
        <v>0</v>
      </c>
    </row>
    <row r="39" spans="2:8" ht="15" thickBot="1" x14ac:dyDescent="0.4">
      <c r="B39" s="55" t="s">
        <v>50</v>
      </c>
      <c r="C39" s="56"/>
      <c r="D39" s="56"/>
      <c r="E39" s="56"/>
      <c r="F39" s="56"/>
      <c r="G39" s="56"/>
      <c r="H39" s="9">
        <f>SUM(H14:H38)</f>
        <v>4248.8899999999994</v>
      </c>
    </row>
    <row r="40" spans="2:8" ht="15" thickBot="1" x14ac:dyDescent="0.4">
      <c r="B40" s="9" t="s">
        <v>51</v>
      </c>
      <c r="C40" s="53" t="str" cm="1">
        <f t="array" ref="C40">ConvertCurrencyToEnglish(H39)</f>
        <v>Rupees Four Thousand Two Hundred Forty Eight and Eighty Nine Paise Only</v>
      </c>
      <c r="D40" s="53"/>
      <c r="E40" s="53"/>
      <c r="F40" s="53"/>
      <c r="G40" s="53"/>
      <c r="H40" s="53"/>
    </row>
    <row r="41" spans="2:8" ht="15" thickBot="1" x14ac:dyDescent="0.4">
      <c r="B41" s="57" t="s">
        <v>52</v>
      </c>
      <c r="C41" s="57"/>
      <c r="D41" s="57"/>
      <c r="E41" s="57"/>
      <c r="F41" s="57"/>
      <c r="G41" s="57"/>
      <c r="H41" s="10">
        <f>H39/1.12</f>
        <v>3793.6517857142849</v>
      </c>
    </row>
    <row r="42" spans="2:8" ht="15" thickBot="1" x14ac:dyDescent="0.4">
      <c r="B42" s="57" t="s">
        <v>53</v>
      </c>
      <c r="C42" s="57"/>
      <c r="D42" s="57"/>
      <c r="E42" s="57"/>
      <c r="F42" s="57"/>
      <c r="G42" s="57"/>
      <c r="H42" s="10">
        <f>(H39-H41)/2</f>
        <v>227.61910714285727</v>
      </c>
    </row>
    <row r="43" spans="2:8" ht="15" thickBot="1" x14ac:dyDescent="0.4">
      <c r="B43" s="57" t="s">
        <v>54</v>
      </c>
      <c r="C43" s="57"/>
      <c r="D43" s="57"/>
      <c r="E43" s="57"/>
      <c r="F43" s="57"/>
      <c r="G43" s="57"/>
      <c r="H43" s="10">
        <f>(H39-H41)/2</f>
        <v>227.61910714285727</v>
      </c>
    </row>
    <row r="47" spans="2:8" x14ac:dyDescent="0.35">
      <c r="B47" s="58" t="s">
        <v>55</v>
      </c>
      <c r="C47" s="59"/>
      <c r="D47" s="59"/>
      <c r="E47" s="59"/>
      <c r="H47" s="60" t="s">
        <v>56</v>
      </c>
    </row>
    <row r="48" spans="2:8" x14ac:dyDescent="0.35">
      <c r="B48" s="59"/>
      <c r="C48" s="59"/>
      <c r="D48" s="59"/>
      <c r="E48" s="59"/>
      <c r="H48" s="60"/>
    </row>
  </sheetData>
  <mergeCells count="11">
    <mergeCell ref="C40:H40"/>
    <mergeCell ref="B2:H5"/>
    <mergeCell ref="B7:D8"/>
    <mergeCell ref="E7:H8"/>
    <mergeCell ref="B9:H9"/>
    <mergeCell ref="B39:G39"/>
    <mergeCell ref="B41:G41"/>
    <mergeCell ref="B42:G42"/>
    <mergeCell ref="B43:G43"/>
    <mergeCell ref="B47:E48"/>
    <mergeCell ref="H47:H48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H48"/>
  <sheetViews>
    <sheetView workbookViewId="0">
      <selection activeCell="C11" sqref="C11"/>
    </sheetView>
  </sheetViews>
  <sheetFormatPr defaultRowHeight="14.5" x14ac:dyDescent="0.35"/>
  <cols>
    <col min="2" max="2" width="20.26953125" bestFit="1" customWidth="1"/>
    <col min="3" max="3" width="6.453125" bestFit="1" customWidth="1"/>
    <col min="4" max="4" width="13.81640625" bestFit="1" customWidth="1"/>
    <col min="5" max="5" width="7.1796875" bestFit="1" customWidth="1"/>
    <col min="6" max="6" width="5.7265625" bestFit="1" customWidth="1"/>
    <col min="7" max="7" width="9.453125" bestFit="1" customWidth="1"/>
    <col min="8" max="8" width="17.81640625" bestFit="1" customWidth="1"/>
  </cols>
  <sheetData>
    <row r="1" spans="2:8" ht="15" thickBot="1" x14ac:dyDescent="0.4"/>
    <row r="2" spans="2:8" x14ac:dyDescent="0.35">
      <c r="B2" s="44" t="s">
        <v>0</v>
      </c>
      <c r="C2" s="45"/>
      <c r="D2" s="45"/>
      <c r="E2" s="45"/>
      <c r="F2" s="45"/>
      <c r="G2" s="45"/>
      <c r="H2" s="46"/>
    </row>
    <row r="3" spans="2:8" x14ac:dyDescent="0.35">
      <c r="B3" s="47"/>
      <c r="C3" s="48"/>
      <c r="D3" s="48"/>
      <c r="E3" s="48"/>
      <c r="F3" s="48"/>
      <c r="G3" s="48"/>
      <c r="H3" s="49"/>
    </row>
    <row r="4" spans="2:8" x14ac:dyDescent="0.35">
      <c r="B4" s="47"/>
      <c r="C4" s="48"/>
      <c r="D4" s="48"/>
      <c r="E4" s="48"/>
      <c r="F4" s="48"/>
      <c r="G4" s="48"/>
      <c r="H4" s="49"/>
    </row>
    <row r="5" spans="2:8" ht="15" thickBot="1" x14ac:dyDescent="0.4">
      <c r="B5" s="50"/>
      <c r="C5" s="51"/>
      <c r="D5" s="51"/>
      <c r="E5" s="51"/>
      <c r="F5" s="51"/>
      <c r="G5" s="51"/>
      <c r="H5" s="52"/>
    </row>
    <row r="6" spans="2:8" ht="15" thickBot="1" x14ac:dyDescent="0.4"/>
    <row r="7" spans="2:8" ht="15" thickBot="1" x14ac:dyDescent="0.4">
      <c r="B7" s="54" t="s">
        <v>1</v>
      </c>
      <c r="C7" s="54"/>
      <c r="D7" s="54"/>
      <c r="E7" s="42" t="str">
        <f>'pharmacy and challan'!E7</f>
        <v>KABITA GOGOI(ESIC/S.H.R.C.)</v>
      </c>
      <c r="F7" s="43"/>
      <c r="G7" s="43"/>
      <c r="H7" s="43"/>
    </row>
    <row r="8" spans="2:8" ht="15" thickBot="1" x14ac:dyDescent="0.4">
      <c r="B8" s="54"/>
      <c r="C8" s="54"/>
      <c r="D8" s="54"/>
      <c r="E8" s="43"/>
      <c r="F8" s="43"/>
      <c r="G8" s="43"/>
      <c r="H8" s="43"/>
    </row>
    <row r="9" spans="2:8" ht="15" thickBot="1" x14ac:dyDescent="0.4">
      <c r="B9" s="61"/>
      <c r="C9" s="61"/>
      <c r="D9" s="61"/>
      <c r="E9" s="61"/>
      <c r="F9" s="61"/>
      <c r="G9" s="61"/>
      <c r="H9" s="61"/>
    </row>
    <row r="11" spans="2:8" x14ac:dyDescent="0.35">
      <c r="B11" s="1" t="s">
        <v>2</v>
      </c>
      <c r="G11" s="1" t="s">
        <v>3</v>
      </c>
    </row>
    <row r="12" spans="2:8" ht="15" thickBot="1" x14ac:dyDescent="0.4"/>
    <row r="13" spans="2:8" ht="15" thickBot="1" x14ac:dyDescent="0.4">
      <c r="B13" s="2" t="s">
        <v>4</v>
      </c>
      <c r="C13" s="2" t="s">
        <v>5</v>
      </c>
      <c r="D13" s="3" t="s">
        <v>6</v>
      </c>
      <c r="E13" s="2" t="s">
        <v>7</v>
      </c>
      <c r="F13" s="2" t="s">
        <v>8</v>
      </c>
      <c r="G13" s="2" t="s">
        <v>9</v>
      </c>
      <c r="H13" s="2" t="s">
        <v>10</v>
      </c>
    </row>
    <row r="14" spans="2:8" ht="15" thickBot="1" x14ac:dyDescent="0.4">
      <c r="B14" s="4" t="s">
        <v>11</v>
      </c>
      <c r="C14" s="5" t="s">
        <v>12</v>
      </c>
      <c r="D14" s="5" t="s">
        <v>13</v>
      </c>
      <c r="E14" s="6">
        <v>45133</v>
      </c>
      <c r="F14" s="4">
        <v>90</v>
      </c>
      <c r="G14" s="4">
        <v>1</v>
      </c>
      <c r="H14" s="4">
        <f>F14*G14</f>
        <v>90</v>
      </c>
    </row>
    <row r="15" spans="2:8" ht="15" thickBot="1" x14ac:dyDescent="0.4">
      <c r="B15" s="4" t="s">
        <v>14</v>
      </c>
      <c r="C15" s="5" t="s">
        <v>15</v>
      </c>
      <c r="D15" s="5" t="s">
        <v>16</v>
      </c>
      <c r="E15" s="6">
        <v>45102</v>
      </c>
      <c r="F15" s="4">
        <v>90</v>
      </c>
      <c r="G15" s="4">
        <v>1</v>
      </c>
      <c r="H15" s="4">
        <f t="shared" ref="H15:H38" si="0">F15*G15</f>
        <v>90</v>
      </c>
    </row>
    <row r="16" spans="2:8" ht="15" thickBot="1" x14ac:dyDescent="0.4">
      <c r="B16" s="4" t="s">
        <v>17</v>
      </c>
      <c r="C16" s="5" t="s">
        <v>18</v>
      </c>
      <c r="D16" s="5" t="s">
        <v>19</v>
      </c>
      <c r="E16" s="6">
        <v>44950</v>
      </c>
      <c r="F16" s="4">
        <v>631</v>
      </c>
      <c r="G16" s="4">
        <v>1</v>
      </c>
      <c r="H16" s="4">
        <f t="shared" si="0"/>
        <v>631</v>
      </c>
    </row>
    <row r="17" spans="2:8" ht="15" thickBot="1" x14ac:dyDescent="0.4">
      <c r="B17" s="4" t="s">
        <v>20</v>
      </c>
      <c r="C17" s="5" t="s">
        <v>21</v>
      </c>
      <c r="D17" s="5" t="s">
        <v>19</v>
      </c>
      <c r="E17" s="6">
        <v>45195</v>
      </c>
      <c r="F17" s="4">
        <v>59</v>
      </c>
      <c r="G17" s="4">
        <v>3</v>
      </c>
      <c r="H17" s="4">
        <f t="shared" si="0"/>
        <v>177</v>
      </c>
    </row>
    <row r="18" spans="2:8" ht="15" thickBot="1" x14ac:dyDescent="0.4">
      <c r="B18" s="4" t="s">
        <v>22</v>
      </c>
      <c r="C18" s="5"/>
      <c r="D18" s="5"/>
      <c r="E18" s="4"/>
      <c r="F18" s="4">
        <v>10</v>
      </c>
      <c r="G18" s="4">
        <v>8</v>
      </c>
      <c r="H18" s="4">
        <f t="shared" si="0"/>
        <v>80</v>
      </c>
    </row>
    <row r="19" spans="2:8" ht="15" thickBot="1" x14ac:dyDescent="0.4">
      <c r="B19" s="4" t="s">
        <v>23</v>
      </c>
      <c r="C19" s="5"/>
      <c r="D19" s="5"/>
      <c r="E19" s="4"/>
      <c r="F19" s="4">
        <v>10</v>
      </c>
      <c r="G19" s="4">
        <v>8</v>
      </c>
      <c r="H19" s="4">
        <f t="shared" si="0"/>
        <v>80</v>
      </c>
    </row>
    <row r="20" spans="2:8" ht="15" thickBot="1" x14ac:dyDescent="0.4">
      <c r="B20" s="4" t="s">
        <v>24</v>
      </c>
      <c r="C20" s="5" t="s">
        <v>25</v>
      </c>
      <c r="D20" s="5" t="s">
        <v>26</v>
      </c>
      <c r="E20" s="6">
        <v>45101</v>
      </c>
      <c r="F20" s="4">
        <v>432</v>
      </c>
      <c r="G20" s="4">
        <v>1</v>
      </c>
      <c r="H20" s="4">
        <f t="shared" si="0"/>
        <v>432</v>
      </c>
    </row>
    <row r="21" spans="2:8" ht="15" thickBot="1" x14ac:dyDescent="0.4">
      <c r="B21" s="4" t="s">
        <v>27</v>
      </c>
      <c r="C21" s="5">
        <v>23394</v>
      </c>
      <c r="D21" s="5" t="s">
        <v>16</v>
      </c>
      <c r="E21" s="6">
        <v>45070</v>
      </c>
      <c r="F21" s="4">
        <v>62</v>
      </c>
      <c r="G21" s="4">
        <v>1</v>
      </c>
      <c r="H21" s="4">
        <f t="shared" si="0"/>
        <v>62</v>
      </c>
    </row>
    <row r="22" spans="2:8" ht="15" thickBot="1" x14ac:dyDescent="0.4">
      <c r="B22" s="4" t="s">
        <v>28</v>
      </c>
      <c r="C22" s="5">
        <v>40121</v>
      </c>
      <c r="D22" s="5" t="s">
        <v>29</v>
      </c>
      <c r="E22" s="6">
        <v>45285</v>
      </c>
      <c r="F22" s="4">
        <v>5.5</v>
      </c>
      <c r="G22" s="4">
        <v>1</v>
      </c>
      <c r="H22" s="4">
        <f t="shared" si="0"/>
        <v>5.5</v>
      </c>
    </row>
    <row r="23" spans="2:8" ht="15" thickBot="1" x14ac:dyDescent="0.4">
      <c r="B23" s="4" t="s">
        <v>30</v>
      </c>
      <c r="C23" s="5" t="s">
        <v>31</v>
      </c>
      <c r="D23" s="5" t="s">
        <v>32</v>
      </c>
      <c r="E23" s="6">
        <v>44984</v>
      </c>
      <c r="F23" s="4">
        <v>211</v>
      </c>
      <c r="G23" s="4">
        <v>1</v>
      </c>
      <c r="H23" s="4">
        <f t="shared" si="0"/>
        <v>211</v>
      </c>
    </row>
    <row r="24" spans="2:8" ht="15" thickBot="1" x14ac:dyDescent="0.4">
      <c r="B24" s="4" t="s">
        <v>33</v>
      </c>
      <c r="C24" s="5">
        <v>713</v>
      </c>
      <c r="D24" s="5" t="s">
        <v>16</v>
      </c>
      <c r="E24" s="6">
        <v>45196</v>
      </c>
      <c r="F24" s="4">
        <v>176</v>
      </c>
      <c r="G24" s="4">
        <v>2</v>
      </c>
      <c r="H24" s="4">
        <f t="shared" si="0"/>
        <v>352</v>
      </c>
    </row>
    <row r="25" spans="2:8" ht="15" thickBot="1" x14ac:dyDescent="0.4">
      <c r="B25" s="4" t="s">
        <v>34</v>
      </c>
      <c r="C25" s="5">
        <v>8092</v>
      </c>
      <c r="D25" s="5" t="s">
        <v>26</v>
      </c>
      <c r="E25" s="6">
        <v>45039</v>
      </c>
      <c r="F25" s="4">
        <v>4.0999999999999996</v>
      </c>
      <c r="G25" s="4">
        <v>1</v>
      </c>
      <c r="H25" s="4">
        <f t="shared" si="0"/>
        <v>4.0999999999999996</v>
      </c>
    </row>
    <row r="26" spans="2:8" ht="15" thickBot="1" x14ac:dyDescent="0.4">
      <c r="B26" s="4" t="s">
        <v>35</v>
      </c>
      <c r="C26" s="5" t="s">
        <v>36</v>
      </c>
      <c r="D26" s="5" t="s">
        <v>37</v>
      </c>
      <c r="E26" s="6">
        <v>45069</v>
      </c>
      <c r="F26" s="4">
        <v>18.5</v>
      </c>
      <c r="G26" s="4">
        <v>1</v>
      </c>
      <c r="H26" s="4">
        <f t="shared" si="0"/>
        <v>18.5</v>
      </c>
    </row>
    <row r="27" spans="2:8" ht="15" thickBot="1" x14ac:dyDescent="0.4">
      <c r="B27" s="4" t="s">
        <v>38</v>
      </c>
      <c r="C27" s="5">
        <v>2024</v>
      </c>
      <c r="D27" s="5" t="s">
        <v>26</v>
      </c>
      <c r="E27" s="6">
        <v>45070</v>
      </c>
      <c r="F27" s="4">
        <v>39.93</v>
      </c>
      <c r="G27" s="4">
        <v>3</v>
      </c>
      <c r="H27" s="4">
        <f t="shared" si="0"/>
        <v>119.78999999999999</v>
      </c>
    </row>
    <row r="28" spans="2:8" ht="15" thickBot="1" x14ac:dyDescent="0.4">
      <c r="B28" s="4" t="s">
        <v>39</v>
      </c>
      <c r="C28" s="5">
        <v>92365</v>
      </c>
      <c r="D28" s="5" t="s">
        <v>16</v>
      </c>
      <c r="E28" s="6">
        <v>45163</v>
      </c>
      <c r="F28" s="4">
        <v>810</v>
      </c>
      <c r="G28" s="4">
        <v>1</v>
      </c>
      <c r="H28" s="4">
        <f t="shared" si="0"/>
        <v>810</v>
      </c>
    </row>
    <row r="29" spans="2:8" ht="15" thickBot="1" x14ac:dyDescent="0.4">
      <c r="B29" s="4" t="s">
        <v>40</v>
      </c>
      <c r="C29" s="5" t="s">
        <v>41</v>
      </c>
      <c r="D29" s="5" t="s">
        <v>42</v>
      </c>
      <c r="E29" s="6">
        <v>44950</v>
      </c>
      <c r="F29" s="4">
        <v>160</v>
      </c>
      <c r="G29" s="4">
        <v>1</v>
      </c>
      <c r="H29" s="4">
        <f t="shared" si="0"/>
        <v>160</v>
      </c>
    </row>
    <row r="30" spans="2:8" ht="15" thickBot="1" x14ac:dyDescent="0.4">
      <c r="B30" s="4" t="s">
        <v>43</v>
      </c>
      <c r="C30" s="5" t="s">
        <v>44</v>
      </c>
      <c r="D30" s="5" t="s">
        <v>19</v>
      </c>
      <c r="E30" s="6">
        <v>45011</v>
      </c>
      <c r="F30" s="4">
        <v>213</v>
      </c>
      <c r="G30" s="4">
        <v>2</v>
      </c>
      <c r="H30" s="4">
        <f t="shared" si="0"/>
        <v>426</v>
      </c>
    </row>
    <row r="31" spans="2:8" ht="15" thickBot="1" x14ac:dyDescent="0.4">
      <c r="B31" s="4" t="s">
        <v>45</v>
      </c>
      <c r="C31" s="5" t="s">
        <v>46</v>
      </c>
      <c r="D31" s="5" t="s">
        <v>19</v>
      </c>
      <c r="E31" s="6">
        <v>45161</v>
      </c>
      <c r="F31" s="4">
        <v>156</v>
      </c>
      <c r="G31" s="4">
        <v>2</v>
      </c>
      <c r="H31" s="4">
        <f t="shared" si="0"/>
        <v>312</v>
      </c>
    </row>
    <row r="32" spans="2:8" ht="15" thickBot="1" x14ac:dyDescent="0.4">
      <c r="B32" s="4" t="s">
        <v>47</v>
      </c>
      <c r="C32" s="5">
        <v>5061</v>
      </c>
      <c r="D32" s="5" t="s">
        <v>48</v>
      </c>
      <c r="E32" s="6">
        <v>45193</v>
      </c>
      <c r="F32" s="4">
        <v>153</v>
      </c>
      <c r="G32" s="4">
        <v>1</v>
      </c>
      <c r="H32" s="4">
        <f t="shared" si="0"/>
        <v>153</v>
      </c>
    </row>
    <row r="33" spans="2:8" ht="15" thickBot="1" x14ac:dyDescent="0.4">
      <c r="B33" s="4" t="s">
        <v>49</v>
      </c>
      <c r="C33" s="5">
        <v>1046</v>
      </c>
      <c r="D33" s="5" t="s">
        <v>26</v>
      </c>
      <c r="E33" s="6">
        <v>45161</v>
      </c>
      <c r="F33" s="4">
        <v>35</v>
      </c>
      <c r="G33" s="4">
        <v>1</v>
      </c>
      <c r="H33" s="4">
        <f t="shared" si="0"/>
        <v>35</v>
      </c>
    </row>
    <row r="34" spans="2:8" ht="15" thickBot="1" x14ac:dyDescent="0.4">
      <c r="B34" s="7"/>
      <c r="C34" s="8"/>
      <c r="D34" s="8"/>
      <c r="E34" s="8"/>
      <c r="F34" s="8"/>
      <c r="G34" s="8"/>
      <c r="H34" s="4">
        <f t="shared" si="0"/>
        <v>0</v>
      </c>
    </row>
    <row r="35" spans="2:8" ht="15" thickBot="1" x14ac:dyDescent="0.4">
      <c r="B35" s="7"/>
      <c r="C35" s="8"/>
      <c r="D35" s="8"/>
      <c r="E35" s="8"/>
      <c r="F35" s="8"/>
      <c r="G35" s="8"/>
      <c r="H35" s="4">
        <f t="shared" si="0"/>
        <v>0</v>
      </c>
    </row>
    <row r="36" spans="2:8" ht="15" thickBot="1" x14ac:dyDescent="0.4">
      <c r="B36" s="7"/>
      <c r="C36" s="8"/>
      <c r="D36" s="8"/>
      <c r="E36" s="8"/>
      <c r="F36" s="8"/>
      <c r="G36" s="8"/>
      <c r="H36" s="4">
        <f t="shared" si="0"/>
        <v>0</v>
      </c>
    </row>
    <row r="37" spans="2:8" ht="15" thickBot="1" x14ac:dyDescent="0.4">
      <c r="B37" s="7"/>
      <c r="C37" s="8"/>
      <c r="D37" s="8"/>
      <c r="E37" s="8"/>
      <c r="F37" s="8"/>
      <c r="G37" s="8"/>
      <c r="H37" s="4">
        <f t="shared" si="0"/>
        <v>0</v>
      </c>
    </row>
    <row r="38" spans="2:8" ht="15" thickBot="1" x14ac:dyDescent="0.4">
      <c r="B38" s="7"/>
      <c r="C38" s="8"/>
      <c r="D38" s="8"/>
      <c r="E38" s="8"/>
      <c r="F38" s="8"/>
      <c r="G38" s="8"/>
      <c r="H38" s="4">
        <f t="shared" si="0"/>
        <v>0</v>
      </c>
    </row>
    <row r="39" spans="2:8" ht="15" thickBot="1" x14ac:dyDescent="0.4">
      <c r="B39" s="55" t="s">
        <v>50</v>
      </c>
      <c r="C39" s="56"/>
      <c r="D39" s="56"/>
      <c r="E39" s="56"/>
      <c r="F39" s="56"/>
      <c r="G39" s="56"/>
      <c r="H39" s="9">
        <f>SUM(H14:H38)</f>
        <v>4248.8899999999994</v>
      </c>
    </row>
    <row r="40" spans="2:8" ht="15" thickBot="1" x14ac:dyDescent="0.4">
      <c r="B40" s="9" t="s">
        <v>51</v>
      </c>
      <c r="C40" s="53" t="str" cm="1">
        <f t="array" ref="C40">ConvertCurrencyToEnglish(H39)</f>
        <v>Rupees Four Thousand Two Hundred Forty Eight and Eighty Nine Paise Only</v>
      </c>
      <c r="D40" s="53"/>
      <c r="E40" s="53"/>
      <c r="F40" s="53"/>
      <c r="G40" s="53"/>
      <c r="H40" s="53"/>
    </row>
    <row r="41" spans="2:8" ht="15" thickBot="1" x14ac:dyDescent="0.4">
      <c r="B41" s="57" t="s">
        <v>52</v>
      </c>
      <c r="C41" s="57"/>
      <c r="D41" s="57"/>
      <c r="E41" s="57"/>
      <c r="F41" s="57"/>
      <c r="G41" s="57"/>
      <c r="H41" s="10">
        <f>H39/1.12</f>
        <v>3793.6517857142849</v>
      </c>
    </row>
    <row r="42" spans="2:8" ht="15" thickBot="1" x14ac:dyDescent="0.4">
      <c r="B42" s="57" t="s">
        <v>53</v>
      </c>
      <c r="C42" s="57"/>
      <c r="D42" s="57"/>
      <c r="E42" s="57"/>
      <c r="F42" s="57"/>
      <c r="G42" s="57"/>
      <c r="H42" s="10">
        <f>(H39-H41)/2</f>
        <v>227.61910714285727</v>
      </c>
    </row>
    <row r="43" spans="2:8" ht="15" thickBot="1" x14ac:dyDescent="0.4">
      <c r="B43" s="57" t="s">
        <v>54</v>
      </c>
      <c r="C43" s="57"/>
      <c r="D43" s="57"/>
      <c r="E43" s="57"/>
      <c r="F43" s="57"/>
      <c r="G43" s="57"/>
      <c r="H43" s="10">
        <f>(H39-H41)/2</f>
        <v>227.61910714285727</v>
      </c>
    </row>
    <row r="47" spans="2:8" x14ac:dyDescent="0.35">
      <c r="B47" s="58" t="s">
        <v>55</v>
      </c>
      <c r="C47" s="59"/>
      <c r="D47" s="59"/>
      <c r="E47" s="59"/>
      <c r="H47" s="60" t="s">
        <v>56</v>
      </c>
    </row>
    <row r="48" spans="2:8" x14ac:dyDescent="0.35">
      <c r="B48" s="59"/>
      <c r="C48" s="59"/>
      <c r="D48" s="59"/>
      <c r="E48" s="59"/>
      <c r="H48" s="60"/>
    </row>
  </sheetData>
  <mergeCells count="11">
    <mergeCell ref="C40:H40"/>
    <mergeCell ref="B2:H5"/>
    <mergeCell ref="B7:D8"/>
    <mergeCell ref="E7:H8"/>
    <mergeCell ref="B9:H9"/>
    <mergeCell ref="B39:G39"/>
    <mergeCell ref="B41:G41"/>
    <mergeCell ref="B42:G42"/>
    <mergeCell ref="B43:G43"/>
    <mergeCell ref="B47:E48"/>
    <mergeCell ref="H47:H48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H48"/>
  <sheetViews>
    <sheetView workbookViewId="0">
      <selection activeCell="J20" sqref="J20"/>
    </sheetView>
  </sheetViews>
  <sheetFormatPr defaultRowHeight="14.5" x14ac:dyDescent="0.35"/>
  <cols>
    <col min="2" max="2" width="20.26953125" bestFit="1" customWidth="1"/>
    <col min="3" max="3" width="6.453125" bestFit="1" customWidth="1"/>
    <col min="4" max="4" width="13.81640625" bestFit="1" customWidth="1"/>
    <col min="5" max="5" width="7.1796875" bestFit="1" customWidth="1"/>
    <col min="6" max="6" width="5.7265625" bestFit="1" customWidth="1"/>
    <col min="7" max="7" width="9.453125" bestFit="1" customWidth="1"/>
    <col min="8" max="8" width="17.81640625" bestFit="1" customWidth="1"/>
  </cols>
  <sheetData>
    <row r="1" spans="2:8" ht="15" thickBot="1" x14ac:dyDescent="0.4"/>
    <row r="2" spans="2:8" x14ac:dyDescent="0.35">
      <c r="B2" s="44" t="s">
        <v>0</v>
      </c>
      <c r="C2" s="45"/>
      <c r="D2" s="45"/>
      <c r="E2" s="45"/>
      <c r="F2" s="45"/>
      <c r="G2" s="45"/>
      <c r="H2" s="46"/>
    </row>
    <row r="3" spans="2:8" x14ac:dyDescent="0.35">
      <c r="B3" s="47"/>
      <c r="C3" s="48"/>
      <c r="D3" s="48"/>
      <c r="E3" s="48"/>
      <c r="F3" s="48"/>
      <c r="G3" s="48"/>
      <c r="H3" s="49"/>
    </row>
    <row r="4" spans="2:8" x14ac:dyDescent="0.35">
      <c r="B4" s="47"/>
      <c r="C4" s="48"/>
      <c r="D4" s="48"/>
      <c r="E4" s="48"/>
      <c r="F4" s="48"/>
      <c r="G4" s="48"/>
      <c r="H4" s="49"/>
    </row>
    <row r="5" spans="2:8" ht="15" thickBot="1" x14ac:dyDescent="0.4">
      <c r="B5" s="50"/>
      <c r="C5" s="51"/>
      <c r="D5" s="51"/>
      <c r="E5" s="51"/>
      <c r="F5" s="51"/>
      <c r="G5" s="51"/>
      <c r="H5" s="52"/>
    </row>
    <row r="6" spans="2:8" ht="15" thickBot="1" x14ac:dyDescent="0.4"/>
    <row r="7" spans="2:8" ht="15" thickBot="1" x14ac:dyDescent="0.4">
      <c r="B7" s="54" t="s">
        <v>1</v>
      </c>
      <c r="C7" s="54"/>
      <c r="D7" s="54"/>
      <c r="E7" s="42" t="str">
        <f>'pharmacy and challan'!E7</f>
        <v>KABITA GOGOI(ESIC/S.H.R.C.)</v>
      </c>
      <c r="F7" s="43"/>
      <c r="G7" s="43"/>
      <c r="H7" s="43"/>
    </row>
    <row r="8" spans="2:8" ht="15" thickBot="1" x14ac:dyDescent="0.4">
      <c r="B8" s="54"/>
      <c r="C8" s="54"/>
      <c r="D8" s="54"/>
      <c r="E8" s="43"/>
      <c r="F8" s="43"/>
      <c r="G8" s="43"/>
      <c r="H8" s="43"/>
    </row>
    <row r="9" spans="2:8" ht="15" thickBot="1" x14ac:dyDescent="0.4">
      <c r="B9" s="61"/>
      <c r="C9" s="61"/>
      <c r="D9" s="61"/>
      <c r="E9" s="61"/>
      <c r="F9" s="61"/>
      <c r="G9" s="61"/>
      <c r="H9" s="61"/>
    </row>
    <row r="11" spans="2:8" x14ac:dyDescent="0.35">
      <c r="B11" s="1" t="s">
        <v>2</v>
      </c>
      <c r="G11" s="1" t="s">
        <v>3</v>
      </c>
    </row>
    <row r="12" spans="2:8" ht="15" thickBot="1" x14ac:dyDescent="0.4"/>
    <row r="13" spans="2:8" ht="15" thickBot="1" x14ac:dyDescent="0.4">
      <c r="B13" s="2" t="s">
        <v>4</v>
      </c>
      <c r="C13" s="2" t="s">
        <v>5</v>
      </c>
      <c r="D13" s="3" t="s">
        <v>6</v>
      </c>
      <c r="E13" s="2" t="s">
        <v>7</v>
      </c>
      <c r="F13" s="2" t="s">
        <v>8</v>
      </c>
      <c r="G13" s="2" t="s">
        <v>9</v>
      </c>
      <c r="H13" s="2" t="s">
        <v>10</v>
      </c>
    </row>
    <row r="14" spans="2:8" ht="15" thickBot="1" x14ac:dyDescent="0.4">
      <c r="B14" s="4" t="s">
        <v>11</v>
      </c>
      <c r="C14" s="5" t="s">
        <v>12</v>
      </c>
      <c r="D14" s="5" t="s">
        <v>13</v>
      </c>
      <c r="E14" s="6">
        <v>45133</v>
      </c>
      <c r="F14" s="4">
        <v>90</v>
      </c>
      <c r="G14" s="4">
        <v>1</v>
      </c>
      <c r="H14" s="4">
        <f>F14*G14</f>
        <v>90</v>
      </c>
    </row>
    <row r="15" spans="2:8" ht="15" thickBot="1" x14ac:dyDescent="0.4">
      <c r="B15" s="4" t="s">
        <v>14</v>
      </c>
      <c r="C15" s="5" t="s">
        <v>15</v>
      </c>
      <c r="D15" s="5" t="s">
        <v>16</v>
      </c>
      <c r="E15" s="6">
        <v>45102</v>
      </c>
      <c r="F15" s="4">
        <v>90</v>
      </c>
      <c r="G15" s="4">
        <v>1</v>
      </c>
      <c r="H15" s="4">
        <f t="shared" ref="H15:H38" si="0">F15*G15</f>
        <v>90</v>
      </c>
    </row>
    <row r="16" spans="2:8" ht="15" thickBot="1" x14ac:dyDescent="0.4">
      <c r="B16" s="4" t="s">
        <v>17</v>
      </c>
      <c r="C16" s="5" t="s">
        <v>18</v>
      </c>
      <c r="D16" s="5" t="s">
        <v>19</v>
      </c>
      <c r="E16" s="6">
        <v>44950</v>
      </c>
      <c r="F16" s="4">
        <v>631</v>
      </c>
      <c r="G16" s="4">
        <v>1</v>
      </c>
      <c r="H16" s="4">
        <f t="shared" si="0"/>
        <v>631</v>
      </c>
    </row>
    <row r="17" spans="2:8" ht="15" thickBot="1" x14ac:dyDescent="0.4">
      <c r="B17" s="4" t="s">
        <v>20</v>
      </c>
      <c r="C17" s="5" t="s">
        <v>21</v>
      </c>
      <c r="D17" s="5" t="s">
        <v>19</v>
      </c>
      <c r="E17" s="6">
        <v>45195</v>
      </c>
      <c r="F17" s="4">
        <v>59</v>
      </c>
      <c r="G17" s="4">
        <v>3</v>
      </c>
      <c r="H17" s="4">
        <f t="shared" si="0"/>
        <v>177</v>
      </c>
    </row>
    <row r="18" spans="2:8" ht="15" thickBot="1" x14ac:dyDescent="0.4">
      <c r="B18" s="4" t="s">
        <v>22</v>
      </c>
      <c r="C18" s="5"/>
      <c r="D18" s="5"/>
      <c r="E18" s="4"/>
      <c r="F18" s="4">
        <v>10</v>
      </c>
      <c r="G18" s="4">
        <v>8</v>
      </c>
      <c r="H18" s="4">
        <f t="shared" si="0"/>
        <v>80</v>
      </c>
    </row>
    <row r="19" spans="2:8" ht="15" thickBot="1" x14ac:dyDescent="0.4">
      <c r="B19" s="4" t="s">
        <v>23</v>
      </c>
      <c r="C19" s="5"/>
      <c r="D19" s="5"/>
      <c r="E19" s="4"/>
      <c r="F19" s="4">
        <v>10</v>
      </c>
      <c r="G19" s="4">
        <v>8</v>
      </c>
      <c r="H19" s="4">
        <f t="shared" si="0"/>
        <v>80</v>
      </c>
    </row>
    <row r="20" spans="2:8" ht="15" thickBot="1" x14ac:dyDescent="0.4">
      <c r="B20" s="4" t="s">
        <v>24</v>
      </c>
      <c r="C20" s="5" t="s">
        <v>25</v>
      </c>
      <c r="D20" s="5" t="s">
        <v>26</v>
      </c>
      <c r="E20" s="6">
        <v>45101</v>
      </c>
      <c r="F20" s="4">
        <v>432</v>
      </c>
      <c r="G20" s="4">
        <v>1</v>
      </c>
      <c r="H20" s="4">
        <f t="shared" si="0"/>
        <v>432</v>
      </c>
    </row>
    <row r="21" spans="2:8" ht="15" thickBot="1" x14ac:dyDescent="0.4">
      <c r="B21" s="4" t="s">
        <v>27</v>
      </c>
      <c r="C21" s="5">
        <v>23394</v>
      </c>
      <c r="D21" s="5" t="s">
        <v>16</v>
      </c>
      <c r="E21" s="6">
        <v>45070</v>
      </c>
      <c r="F21" s="4">
        <v>62</v>
      </c>
      <c r="G21" s="4">
        <v>1</v>
      </c>
      <c r="H21" s="4">
        <f t="shared" si="0"/>
        <v>62</v>
      </c>
    </row>
    <row r="22" spans="2:8" ht="15" thickBot="1" x14ac:dyDescent="0.4">
      <c r="B22" s="4" t="s">
        <v>28</v>
      </c>
      <c r="C22" s="5">
        <v>40121</v>
      </c>
      <c r="D22" s="5" t="s">
        <v>29</v>
      </c>
      <c r="E22" s="6">
        <v>45285</v>
      </c>
      <c r="F22" s="4">
        <v>5.5</v>
      </c>
      <c r="G22" s="4">
        <v>1</v>
      </c>
      <c r="H22" s="4">
        <f t="shared" si="0"/>
        <v>5.5</v>
      </c>
    </row>
    <row r="23" spans="2:8" ht="15" thickBot="1" x14ac:dyDescent="0.4">
      <c r="B23" s="4" t="s">
        <v>30</v>
      </c>
      <c r="C23" s="5" t="s">
        <v>31</v>
      </c>
      <c r="D23" s="5" t="s">
        <v>32</v>
      </c>
      <c r="E23" s="6">
        <v>44984</v>
      </c>
      <c r="F23" s="4">
        <v>211</v>
      </c>
      <c r="G23" s="4">
        <v>1</v>
      </c>
      <c r="H23" s="4">
        <f t="shared" si="0"/>
        <v>211</v>
      </c>
    </row>
    <row r="24" spans="2:8" ht="15" thickBot="1" x14ac:dyDescent="0.4">
      <c r="B24" s="4" t="s">
        <v>33</v>
      </c>
      <c r="C24" s="5">
        <v>713</v>
      </c>
      <c r="D24" s="5" t="s">
        <v>16</v>
      </c>
      <c r="E24" s="6">
        <v>45196</v>
      </c>
      <c r="F24" s="4">
        <v>176</v>
      </c>
      <c r="G24" s="4">
        <v>2</v>
      </c>
      <c r="H24" s="4">
        <f t="shared" si="0"/>
        <v>352</v>
      </c>
    </row>
    <row r="25" spans="2:8" ht="15" thickBot="1" x14ac:dyDescent="0.4">
      <c r="B25" s="4" t="s">
        <v>34</v>
      </c>
      <c r="C25" s="5">
        <v>8092</v>
      </c>
      <c r="D25" s="5" t="s">
        <v>26</v>
      </c>
      <c r="E25" s="6">
        <v>45039</v>
      </c>
      <c r="F25" s="4">
        <v>4.0999999999999996</v>
      </c>
      <c r="G25" s="4">
        <v>1</v>
      </c>
      <c r="H25" s="4">
        <f t="shared" si="0"/>
        <v>4.0999999999999996</v>
      </c>
    </row>
    <row r="26" spans="2:8" ht="15" thickBot="1" x14ac:dyDescent="0.4">
      <c r="B26" s="4" t="s">
        <v>35</v>
      </c>
      <c r="C26" s="5" t="s">
        <v>36</v>
      </c>
      <c r="D26" s="5" t="s">
        <v>37</v>
      </c>
      <c r="E26" s="6">
        <v>45069</v>
      </c>
      <c r="F26" s="4">
        <v>18.5</v>
      </c>
      <c r="G26" s="4">
        <v>1</v>
      </c>
      <c r="H26" s="4">
        <f t="shared" si="0"/>
        <v>18.5</v>
      </c>
    </row>
    <row r="27" spans="2:8" ht="15" thickBot="1" x14ac:dyDescent="0.4">
      <c r="B27" s="4" t="s">
        <v>38</v>
      </c>
      <c r="C27" s="5">
        <v>2024</v>
      </c>
      <c r="D27" s="5" t="s">
        <v>26</v>
      </c>
      <c r="E27" s="6">
        <v>45070</v>
      </c>
      <c r="F27" s="4">
        <v>39.93</v>
      </c>
      <c r="G27" s="4">
        <v>3</v>
      </c>
      <c r="H27" s="4">
        <f t="shared" si="0"/>
        <v>119.78999999999999</v>
      </c>
    </row>
    <row r="28" spans="2:8" ht="15" thickBot="1" x14ac:dyDescent="0.4">
      <c r="B28" s="4" t="s">
        <v>39</v>
      </c>
      <c r="C28" s="5">
        <v>92365</v>
      </c>
      <c r="D28" s="5" t="s">
        <v>16</v>
      </c>
      <c r="E28" s="6">
        <v>45163</v>
      </c>
      <c r="F28" s="4">
        <v>810</v>
      </c>
      <c r="G28" s="4">
        <v>1</v>
      </c>
      <c r="H28" s="4">
        <f t="shared" si="0"/>
        <v>810</v>
      </c>
    </row>
    <row r="29" spans="2:8" ht="15" thickBot="1" x14ac:dyDescent="0.4">
      <c r="B29" s="4" t="s">
        <v>40</v>
      </c>
      <c r="C29" s="5" t="s">
        <v>41</v>
      </c>
      <c r="D29" s="5" t="s">
        <v>42</v>
      </c>
      <c r="E29" s="6">
        <v>44950</v>
      </c>
      <c r="F29" s="4">
        <v>160</v>
      </c>
      <c r="G29" s="4">
        <v>1</v>
      </c>
      <c r="H29" s="4">
        <f t="shared" si="0"/>
        <v>160</v>
      </c>
    </row>
    <row r="30" spans="2:8" ht="15" thickBot="1" x14ac:dyDescent="0.4">
      <c r="B30" s="4" t="s">
        <v>43</v>
      </c>
      <c r="C30" s="5" t="s">
        <v>44</v>
      </c>
      <c r="D30" s="5" t="s">
        <v>19</v>
      </c>
      <c r="E30" s="6">
        <v>45011</v>
      </c>
      <c r="F30" s="4">
        <v>213</v>
      </c>
      <c r="G30" s="4">
        <v>2</v>
      </c>
      <c r="H30" s="4">
        <f t="shared" si="0"/>
        <v>426</v>
      </c>
    </row>
    <row r="31" spans="2:8" ht="15" thickBot="1" x14ac:dyDescent="0.4">
      <c r="B31" s="4" t="s">
        <v>45</v>
      </c>
      <c r="C31" s="5" t="s">
        <v>46</v>
      </c>
      <c r="D31" s="5" t="s">
        <v>19</v>
      </c>
      <c r="E31" s="6">
        <v>45161</v>
      </c>
      <c r="F31" s="4">
        <v>156</v>
      </c>
      <c r="G31" s="4">
        <v>2</v>
      </c>
      <c r="H31" s="4">
        <f t="shared" si="0"/>
        <v>312</v>
      </c>
    </row>
    <row r="32" spans="2:8" ht="15" thickBot="1" x14ac:dyDescent="0.4">
      <c r="B32" s="4" t="s">
        <v>47</v>
      </c>
      <c r="C32" s="5">
        <v>5061</v>
      </c>
      <c r="D32" s="5" t="s">
        <v>48</v>
      </c>
      <c r="E32" s="6">
        <v>45193</v>
      </c>
      <c r="F32" s="4">
        <v>153</v>
      </c>
      <c r="G32" s="4">
        <v>1</v>
      </c>
      <c r="H32" s="4">
        <f t="shared" si="0"/>
        <v>153</v>
      </c>
    </row>
    <row r="33" spans="2:8" ht="15" thickBot="1" x14ac:dyDescent="0.4">
      <c r="B33" s="4" t="s">
        <v>49</v>
      </c>
      <c r="C33" s="5">
        <v>1046</v>
      </c>
      <c r="D33" s="5" t="s">
        <v>26</v>
      </c>
      <c r="E33" s="6">
        <v>45161</v>
      </c>
      <c r="F33" s="4">
        <v>45</v>
      </c>
      <c r="G33" s="4">
        <v>1</v>
      </c>
      <c r="H33" s="4">
        <f t="shared" si="0"/>
        <v>45</v>
      </c>
    </row>
    <row r="34" spans="2:8" ht="15" thickBot="1" x14ac:dyDescent="0.4">
      <c r="B34" s="7"/>
      <c r="C34" s="8"/>
      <c r="D34" s="8"/>
      <c r="E34" s="8"/>
      <c r="F34" s="8"/>
      <c r="G34" s="8"/>
      <c r="H34" s="4">
        <f t="shared" si="0"/>
        <v>0</v>
      </c>
    </row>
    <row r="35" spans="2:8" ht="15" thickBot="1" x14ac:dyDescent="0.4">
      <c r="B35" s="7"/>
      <c r="C35" s="8"/>
      <c r="D35" s="8"/>
      <c r="E35" s="8"/>
      <c r="F35" s="8"/>
      <c r="G35" s="8"/>
      <c r="H35" s="4">
        <f t="shared" si="0"/>
        <v>0</v>
      </c>
    </row>
    <row r="36" spans="2:8" ht="15" thickBot="1" x14ac:dyDescent="0.4">
      <c r="B36" s="7"/>
      <c r="C36" s="8"/>
      <c r="D36" s="8"/>
      <c r="E36" s="8"/>
      <c r="F36" s="8"/>
      <c r="G36" s="8"/>
      <c r="H36" s="4">
        <f t="shared" si="0"/>
        <v>0</v>
      </c>
    </row>
    <row r="37" spans="2:8" ht="15" thickBot="1" x14ac:dyDescent="0.4">
      <c r="B37" s="7"/>
      <c r="C37" s="8"/>
      <c r="D37" s="8"/>
      <c r="E37" s="8"/>
      <c r="F37" s="8"/>
      <c r="G37" s="8"/>
      <c r="H37" s="4">
        <f t="shared" si="0"/>
        <v>0</v>
      </c>
    </row>
    <row r="38" spans="2:8" ht="15" thickBot="1" x14ac:dyDescent="0.4">
      <c r="B38" s="7"/>
      <c r="C38" s="8"/>
      <c r="D38" s="8"/>
      <c r="E38" s="8"/>
      <c r="F38" s="8"/>
      <c r="G38" s="8"/>
      <c r="H38" s="4">
        <f t="shared" si="0"/>
        <v>0</v>
      </c>
    </row>
    <row r="39" spans="2:8" ht="15" thickBot="1" x14ac:dyDescent="0.4">
      <c r="B39" s="55" t="s">
        <v>50</v>
      </c>
      <c r="C39" s="56"/>
      <c r="D39" s="56"/>
      <c r="E39" s="56"/>
      <c r="F39" s="56"/>
      <c r="G39" s="56"/>
      <c r="H39" s="9">
        <f>SUM(H14:H38)</f>
        <v>4258.8899999999994</v>
      </c>
    </row>
    <row r="40" spans="2:8" ht="15" thickBot="1" x14ac:dyDescent="0.4">
      <c r="B40" s="9" t="s">
        <v>51</v>
      </c>
      <c r="C40" s="53" t="str" cm="1">
        <f t="array" ref="C40">ConvertCurrencyToEnglish(H39)</f>
        <v>Rupees Four Thousand Two Hundred Fifty Eight and Eighty Nine Paise Only</v>
      </c>
      <c r="D40" s="53"/>
      <c r="E40" s="53"/>
      <c r="F40" s="53"/>
      <c r="G40" s="53"/>
      <c r="H40" s="53"/>
    </row>
    <row r="41" spans="2:8" ht="15" thickBot="1" x14ac:dyDescent="0.4">
      <c r="B41" s="57" t="s">
        <v>52</v>
      </c>
      <c r="C41" s="57"/>
      <c r="D41" s="57"/>
      <c r="E41" s="57"/>
      <c r="F41" s="57"/>
      <c r="G41" s="57"/>
      <c r="H41" s="10">
        <f>H39/1.12</f>
        <v>3802.5803571428564</v>
      </c>
    </row>
    <row r="42" spans="2:8" ht="15" thickBot="1" x14ac:dyDescent="0.4">
      <c r="B42" s="57" t="s">
        <v>53</v>
      </c>
      <c r="C42" s="57"/>
      <c r="D42" s="57"/>
      <c r="E42" s="57"/>
      <c r="F42" s="57"/>
      <c r="G42" s="57"/>
      <c r="H42" s="10">
        <f>(H39-H41)/2</f>
        <v>228.15482142857149</v>
      </c>
    </row>
    <row r="43" spans="2:8" ht="15" thickBot="1" x14ac:dyDescent="0.4">
      <c r="B43" s="57" t="s">
        <v>54</v>
      </c>
      <c r="C43" s="57"/>
      <c r="D43" s="57"/>
      <c r="E43" s="57"/>
      <c r="F43" s="57"/>
      <c r="G43" s="57"/>
      <c r="H43" s="10">
        <f>(H39-H41)/2</f>
        <v>228.15482142857149</v>
      </c>
    </row>
    <row r="47" spans="2:8" x14ac:dyDescent="0.35">
      <c r="B47" s="58" t="s">
        <v>55</v>
      </c>
      <c r="C47" s="59"/>
      <c r="D47" s="59"/>
      <c r="E47" s="59"/>
      <c r="H47" s="60" t="s">
        <v>56</v>
      </c>
    </row>
    <row r="48" spans="2:8" x14ac:dyDescent="0.35">
      <c r="B48" s="59"/>
      <c r="C48" s="59"/>
      <c r="D48" s="59"/>
      <c r="E48" s="59"/>
      <c r="H48" s="60"/>
    </row>
  </sheetData>
  <mergeCells count="11">
    <mergeCell ref="C40:H40"/>
    <mergeCell ref="B2:H5"/>
    <mergeCell ref="B7:D8"/>
    <mergeCell ref="E7:H8"/>
    <mergeCell ref="B9:H9"/>
    <mergeCell ref="B39:G39"/>
    <mergeCell ref="B41:G41"/>
    <mergeCell ref="B42:G42"/>
    <mergeCell ref="B43:G43"/>
    <mergeCell ref="B47:E48"/>
    <mergeCell ref="H47:H48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B1:H48"/>
  <sheetViews>
    <sheetView workbookViewId="0">
      <selection activeCell="J20" sqref="J20"/>
    </sheetView>
  </sheetViews>
  <sheetFormatPr defaultRowHeight="14.5" x14ac:dyDescent="0.35"/>
  <cols>
    <col min="2" max="2" width="20.26953125" bestFit="1" customWidth="1"/>
    <col min="3" max="3" width="6.453125" bestFit="1" customWidth="1"/>
    <col min="4" max="4" width="13.81640625" bestFit="1" customWidth="1"/>
    <col min="5" max="5" width="7.1796875" bestFit="1" customWidth="1"/>
    <col min="6" max="6" width="5.7265625" bestFit="1" customWidth="1"/>
    <col min="7" max="7" width="9.453125" bestFit="1" customWidth="1"/>
    <col min="8" max="8" width="17.81640625" bestFit="1" customWidth="1"/>
  </cols>
  <sheetData>
    <row r="1" spans="2:8" ht="15" thickBot="1" x14ac:dyDescent="0.4"/>
    <row r="2" spans="2:8" x14ac:dyDescent="0.35">
      <c r="B2" s="44" t="s">
        <v>0</v>
      </c>
      <c r="C2" s="45"/>
      <c r="D2" s="45"/>
      <c r="E2" s="45"/>
      <c r="F2" s="45"/>
      <c r="G2" s="45"/>
      <c r="H2" s="46"/>
    </row>
    <row r="3" spans="2:8" x14ac:dyDescent="0.35">
      <c r="B3" s="47"/>
      <c r="C3" s="48"/>
      <c r="D3" s="48"/>
      <c r="E3" s="48"/>
      <c r="F3" s="48"/>
      <c r="G3" s="48"/>
      <c r="H3" s="49"/>
    </row>
    <row r="4" spans="2:8" x14ac:dyDescent="0.35">
      <c r="B4" s="47"/>
      <c r="C4" s="48"/>
      <c r="D4" s="48"/>
      <c r="E4" s="48"/>
      <c r="F4" s="48"/>
      <c r="G4" s="48"/>
      <c r="H4" s="49"/>
    </row>
    <row r="5" spans="2:8" ht="15" thickBot="1" x14ac:dyDescent="0.4">
      <c r="B5" s="50"/>
      <c r="C5" s="51"/>
      <c r="D5" s="51"/>
      <c r="E5" s="51"/>
      <c r="F5" s="51"/>
      <c r="G5" s="51"/>
      <c r="H5" s="52"/>
    </row>
    <row r="6" spans="2:8" ht="15" thickBot="1" x14ac:dyDescent="0.4"/>
    <row r="7" spans="2:8" ht="15" thickBot="1" x14ac:dyDescent="0.4">
      <c r="B7" s="54" t="s">
        <v>1</v>
      </c>
      <c r="C7" s="54"/>
      <c r="D7" s="54"/>
      <c r="E7" s="42" t="str">
        <f>'pharmacy and challan'!E7</f>
        <v>KABITA GOGOI(ESIC/S.H.R.C.)</v>
      </c>
      <c r="F7" s="43"/>
      <c r="G7" s="43"/>
      <c r="H7" s="43"/>
    </row>
    <row r="8" spans="2:8" ht="15" thickBot="1" x14ac:dyDescent="0.4">
      <c r="B8" s="54"/>
      <c r="C8" s="54"/>
      <c r="D8" s="54"/>
      <c r="E8" s="43"/>
      <c r="F8" s="43"/>
      <c r="G8" s="43"/>
      <c r="H8" s="43"/>
    </row>
    <row r="9" spans="2:8" ht="15" thickBot="1" x14ac:dyDescent="0.4">
      <c r="B9" s="61"/>
      <c r="C9" s="61"/>
      <c r="D9" s="61"/>
      <c r="E9" s="61"/>
      <c r="F9" s="61"/>
      <c r="G9" s="61"/>
      <c r="H9" s="61"/>
    </row>
    <row r="11" spans="2:8" x14ac:dyDescent="0.35">
      <c r="B11" s="1" t="s">
        <v>2</v>
      </c>
      <c r="G11" s="1" t="s">
        <v>3</v>
      </c>
    </row>
    <row r="12" spans="2:8" ht="15" thickBot="1" x14ac:dyDescent="0.4"/>
    <row r="13" spans="2:8" ht="15" thickBot="1" x14ac:dyDescent="0.4">
      <c r="B13" s="2" t="s">
        <v>4</v>
      </c>
      <c r="C13" s="2" t="s">
        <v>5</v>
      </c>
      <c r="D13" s="3" t="s">
        <v>6</v>
      </c>
      <c r="E13" s="2" t="s">
        <v>7</v>
      </c>
      <c r="F13" s="2" t="s">
        <v>8</v>
      </c>
      <c r="G13" s="2" t="s">
        <v>9</v>
      </c>
      <c r="H13" s="2" t="s">
        <v>10</v>
      </c>
    </row>
    <row r="14" spans="2:8" ht="15" thickBot="1" x14ac:dyDescent="0.4">
      <c r="B14" s="4"/>
      <c r="C14" s="5"/>
      <c r="D14" s="5"/>
      <c r="E14" s="6"/>
      <c r="F14" s="4"/>
      <c r="G14" s="4"/>
      <c r="H14" s="4">
        <f>F14*G14</f>
        <v>0</v>
      </c>
    </row>
    <row r="15" spans="2:8" ht="15" thickBot="1" x14ac:dyDescent="0.4">
      <c r="B15" s="4"/>
      <c r="C15" s="5"/>
      <c r="D15" s="5"/>
      <c r="E15" s="6"/>
      <c r="F15" s="4"/>
      <c r="G15" s="4"/>
      <c r="H15" s="4">
        <f t="shared" ref="H15:H38" si="0">F15*G15</f>
        <v>0</v>
      </c>
    </row>
    <row r="16" spans="2:8" ht="15" thickBot="1" x14ac:dyDescent="0.4">
      <c r="B16" s="4"/>
      <c r="C16" s="5"/>
      <c r="D16" s="5"/>
      <c r="E16" s="6"/>
      <c r="F16" s="4"/>
      <c r="G16" s="4"/>
      <c r="H16" s="4">
        <f t="shared" si="0"/>
        <v>0</v>
      </c>
    </row>
    <row r="17" spans="2:8" ht="15" thickBot="1" x14ac:dyDescent="0.4">
      <c r="B17" s="4" t="s">
        <v>20</v>
      </c>
      <c r="C17" s="5" t="s">
        <v>21</v>
      </c>
      <c r="D17" s="5" t="s">
        <v>19</v>
      </c>
      <c r="E17" s="6">
        <v>45195</v>
      </c>
      <c r="F17" s="4">
        <v>59</v>
      </c>
      <c r="G17" s="4">
        <v>3</v>
      </c>
      <c r="H17" s="4">
        <f t="shared" si="0"/>
        <v>177</v>
      </c>
    </row>
    <row r="18" spans="2:8" ht="15" thickBot="1" x14ac:dyDescent="0.4">
      <c r="B18" s="4" t="s">
        <v>22</v>
      </c>
      <c r="C18" s="5"/>
      <c r="D18" s="5"/>
      <c r="E18" s="4"/>
      <c r="F18" s="4">
        <v>10</v>
      </c>
      <c r="G18" s="4">
        <v>8</v>
      </c>
      <c r="H18" s="4">
        <f t="shared" si="0"/>
        <v>80</v>
      </c>
    </row>
    <row r="19" spans="2:8" ht="15" thickBot="1" x14ac:dyDescent="0.4">
      <c r="B19" s="4" t="s">
        <v>23</v>
      </c>
      <c r="C19" s="5"/>
      <c r="D19" s="5"/>
      <c r="E19" s="4"/>
      <c r="F19" s="4">
        <v>10</v>
      </c>
      <c r="G19" s="4">
        <v>8</v>
      </c>
      <c r="H19" s="4">
        <f t="shared" si="0"/>
        <v>80</v>
      </c>
    </row>
    <row r="20" spans="2:8" ht="15" thickBot="1" x14ac:dyDescent="0.4">
      <c r="B20" s="4" t="s">
        <v>24</v>
      </c>
      <c r="C20" s="5" t="s">
        <v>25</v>
      </c>
      <c r="D20" s="5" t="s">
        <v>26</v>
      </c>
      <c r="E20" s="6">
        <v>45101</v>
      </c>
      <c r="F20" s="4">
        <v>432</v>
      </c>
      <c r="G20" s="4">
        <v>1</v>
      </c>
      <c r="H20" s="4">
        <f t="shared" si="0"/>
        <v>432</v>
      </c>
    </row>
    <row r="21" spans="2:8" ht="15" thickBot="1" x14ac:dyDescent="0.4">
      <c r="B21" s="4" t="s">
        <v>27</v>
      </c>
      <c r="C21" s="5">
        <v>23394</v>
      </c>
      <c r="D21" s="5" t="s">
        <v>16</v>
      </c>
      <c r="E21" s="6">
        <v>45070</v>
      </c>
      <c r="F21" s="4">
        <v>62</v>
      </c>
      <c r="G21" s="4">
        <v>1</v>
      </c>
      <c r="H21" s="4">
        <f t="shared" si="0"/>
        <v>62</v>
      </c>
    </row>
    <row r="22" spans="2:8" ht="15" thickBot="1" x14ac:dyDescent="0.4">
      <c r="B22" s="4" t="s">
        <v>28</v>
      </c>
      <c r="C22" s="5">
        <v>40121</v>
      </c>
      <c r="D22" s="5" t="s">
        <v>29</v>
      </c>
      <c r="E22" s="6">
        <v>45285</v>
      </c>
      <c r="F22" s="4">
        <v>5.5</v>
      </c>
      <c r="G22" s="4">
        <v>1</v>
      </c>
      <c r="H22" s="4">
        <f t="shared" si="0"/>
        <v>5.5</v>
      </c>
    </row>
    <row r="23" spans="2:8" ht="15" thickBot="1" x14ac:dyDescent="0.4">
      <c r="B23" s="4" t="s">
        <v>30</v>
      </c>
      <c r="C23" s="5" t="s">
        <v>31</v>
      </c>
      <c r="D23" s="5" t="s">
        <v>32</v>
      </c>
      <c r="E23" s="6">
        <v>44984</v>
      </c>
      <c r="F23" s="4">
        <v>211</v>
      </c>
      <c r="G23" s="4">
        <v>1</v>
      </c>
      <c r="H23" s="4">
        <f t="shared" si="0"/>
        <v>211</v>
      </c>
    </row>
    <row r="24" spans="2:8" ht="15" thickBot="1" x14ac:dyDescent="0.4">
      <c r="B24" s="4" t="s">
        <v>33</v>
      </c>
      <c r="C24" s="5">
        <v>713</v>
      </c>
      <c r="D24" s="5" t="s">
        <v>16</v>
      </c>
      <c r="E24" s="6">
        <v>45196</v>
      </c>
      <c r="F24" s="4">
        <v>176</v>
      </c>
      <c r="G24" s="4">
        <v>2</v>
      </c>
      <c r="H24" s="4">
        <f t="shared" si="0"/>
        <v>352</v>
      </c>
    </row>
    <row r="25" spans="2:8" ht="15" thickBot="1" x14ac:dyDescent="0.4">
      <c r="B25" s="4" t="s">
        <v>34</v>
      </c>
      <c r="C25" s="5">
        <v>8092</v>
      </c>
      <c r="D25" s="5" t="s">
        <v>26</v>
      </c>
      <c r="E25" s="6">
        <v>45039</v>
      </c>
      <c r="F25" s="4">
        <v>4.0999999999999996</v>
      </c>
      <c r="G25" s="4">
        <v>1</v>
      </c>
      <c r="H25" s="4">
        <f t="shared" si="0"/>
        <v>4.0999999999999996</v>
      </c>
    </row>
    <row r="26" spans="2:8" ht="15" thickBot="1" x14ac:dyDescent="0.4">
      <c r="B26" s="4" t="s">
        <v>35</v>
      </c>
      <c r="C26" s="5" t="s">
        <v>36</v>
      </c>
      <c r="D26" s="5" t="s">
        <v>37</v>
      </c>
      <c r="E26" s="6">
        <v>45069</v>
      </c>
      <c r="F26" s="4">
        <v>18.5</v>
      </c>
      <c r="G26" s="4">
        <v>1</v>
      </c>
      <c r="H26" s="4">
        <f t="shared" si="0"/>
        <v>18.5</v>
      </c>
    </row>
    <row r="27" spans="2:8" ht="15" thickBot="1" x14ac:dyDescent="0.4">
      <c r="B27" s="4" t="s">
        <v>38</v>
      </c>
      <c r="C27" s="5">
        <v>2024</v>
      </c>
      <c r="D27" s="5" t="s">
        <v>26</v>
      </c>
      <c r="E27" s="6">
        <v>45070</v>
      </c>
      <c r="F27" s="4">
        <v>39.93</v>
      </c>
      <c r="G27" s="4">
        <v>3</v>
      </c>
      <c r="H27" s="4">
        <f t="shared" si="0"/>
        <v>119.78999999999999</v>
      </c>
    </row>
    <row r="28" spans="2:8" ht="15" thickBot="1" x14ac:dyDescent="0.4">
      <c r="B28" s="4" t="s">
        <v>39</v>
      </c>
      <c r="C28" s="5">
        <v>92365</v>
      </c>
      <c r="D28" s="5" t="s">
        <v>16</v>
      </c>
      <c r="E28" s="6">
        <v>45163</v>
      </c>
      <c r="F28" s="4">
        <v>810</v>
      </c>
      <c r="G28" s="4">
        <v>1</v>
      </c>
      <c r="H28" s="4">
        <f t="shared" si="0"/>
        <v>810</v>
      </c>
    </row>
    <row r="29" spans="2:8" ht="15" thickBot="1" x14ac:dyDescent="0.4">
      <c r="B29" s="4" t="s">
        <v>40</v>
      </c>
      <c r="C29" s="5" t="s">
        <v>41</v>
      </c>
      <c r="D29" s="5" t="s">
        <v>42</v>
      </c>
      <c r="E29" s="6">
        <v>44950</v>
      </c>
      <c r="F29" s="4">
        <v>160</v>
      </c>
      <c r="G29" s="4">
        <v>1</v>
      </c>
      <c r="H29" s="4">
        <f t="shared" si="0"/>
        <v>160</v>
      </c>
    </row>
    <row r="30" spans="2:8" ht="15" thickBot="1" x14ac:dyDescent="0.4">
      <c r="B30" s="4" t="s">
        <v>43</v>
      </c>
      <c r="C30" s="5" t="s">
        <v>44</v>
      </c>
      <c r="D30" s="5" t="s">
        <v>19</v>
      </c>
      <c r="E30" s="6">
        <v>45011</v>
      </c>
      <c r="F30" s="4">
        <v>213</v>
      </c>
      <c r="G30" s="4">
        <v>2</v>
      </c>
      <c r="H30" s="4">
        <f t="shared" si="0"/>
        <v>426</v>
      </c>
    </row>
    <row r="31" spans="2:8" ht="15" thickBot="1" x14ac:dyDescent="0.4">
      <c r="B31" s="4" t="s">
        <v>45</v>
      </c>
      <c r="C31" s="5" t="s">
        <v>46</v>
      </c>
      <c r="D31" s="5" t="s">
        <v>19</v>
      </c>
      <c r="E31" s="6">
        <v>45161</v>
      </c>
      <c r="F31" s="4">
        <v>156</v>
      </c>
      <c r="G31" s="4">
        <v>2</v>
      </c>
      <c r="H31" s="4">
        <f t="shared" si="0"/>
        <v>312</v>
      </c>
    </row>
    <row r="32" spans="2:8" ht="15" thickBot="1" x14ac:dyDescent="0.4">
      <c r="B32" s="4" t="s">
        <v>47</v>
      </c>
      <c r="C32" s="5">
        <v>5061</v>
      </c>
      <c r="D32" s="5" t="s">
        <v>48</v>
      </c>
      <c r="E32" s="6">
        <v>45193</v>
      </c>
      <c r="F32" s="4">
        <v>153</v>
      </c>
      <c r="G32" s="4">
        <v>1</v>
      </c>
      <c r="H32" s="4">
        <f t="shared" si="0"/>
        <v>153</v>
      </c>
    </row>
    <row r="33" spans="2:8" ht="15" thickBot="1" x14ac:dyDescent="0.4">
      <c r="B33" s="4" t="s">
        <v>49</v>
      </c>
      <c r="C33" s="5">
        <v>1046</v>
      </c>
      <c r="D33" s="5" t="s">
        <v>26</v>
      </c>
      <c r="E33" s="6">
        <v>45161</v>
      </c>
      <c r="F33" s="4">
        <v>45</v>
      </c>
      <c r="G33" s="4">
        <v>1</v>
      </c>
      <c r="H33" s="4">
        <f t="shared" si="0"/>
        <v>45</v>
      </c>
    </row>
    <row r="34" spans="2:8" ht="15" thickBot="1" x14ac:dyDescent="0.4">
      <c r="B34" s="7"/>
      <c r="C34" s="8"/>
      <c r="D34" s="8"/>
      <c r="E34" s="8"/>
      <c r="F34" s="8"/>
      <c r="G34" s="8"/>
      <c r="H34" s="4">
        <f t="shared" si="0"/>
        <v>0</v>
      </c>
    </row>
    <row r="35" spans="2:8" ht="15" thickBot="1" x14ac:dyDescent="0.4">
      <c r="B35" s="7"/>
      <c r="C35" s="8"/>
      <c r="D35" s="8"/>
      <c r="E35" s="8"/>
      <c r="F35" s="8"/>
      <c r="G35" s="8"/>
      <c r="H35" s="4">
        <f t="shared" si="0"/>
        <v>0</v>
      </c>
    </row>
    <row r="36" spans="2:8" ht="15" thickBot="1" x14ac:dyDescent="0.4">
      <c r="B36" s="7"/>
      <c r="C36" s="8"/>
      <c r="D36" s="8"/>
      <c r="E36" s="8"/>
      <c r="F36" s="8"/>
      <c r="G36" s="8"/>
      <c r="H36" s="4">
        <f t="shared" si="0"/>
        <v>0</v>
      </c>
    </row>
    <row r="37" spans="2:8" ht="15" thickBot="1" x14ac:dyDescent="0.4">
      <c r="B37" s="7"/>
      <c r="C37" s="8"/>
      <c r="D37" s="8"/>
      <c r="E37" s="8"/>
      <c r="F37" s="8"/>
      <c r="G37" s="8"/>
      <c r="H37" s="4">
        <f t="shared" si="0"/>
        <v>0</v>
      </c>
    </row>
    <row r="38" spans="2:8" ht="15" thickBot="1" x14ac:dyDescent="0.4">
      <c r="B38" s="7"/>
      <c r="C38" s="8"/>
      <c r="D38" s="8"/>
      <c r="E38" s="8"/>
      <c r="F38" s="8"/>
      <c r="G38" s="8"/>
      <c r="H38" s="4">
        <f t="shared" si="0"/>
        <v>0</v>
      </c>
    </row>
    <row r="39" spans="2:8" ht="15" thickBot="1" x14ac:dyDescent="0.4">
      <c r="B39" s="55" t="s">
        <v>50</v>
      </c>
      <c r="C39" s="56"/>
      <c r="D39" s="56"/>
      <c r="E39" s="56"/>
      <c r="F39" s="56"/>
      <c r="G39" s="56"/>
      <c r="H39" s="9">
        <f>SUM(H14:H38)</f>
        <v>3447.89</v>
      </c>
    </row>
    <row r="40" spans="2:8" ht="15" thickBot="1" x14ac:dyDescent="0.4">
      <c r="B40" s="9" t="s">
        <v>51</v>
      </c>
      <c r="C40" s="53" t="str" cm="1">
        <f t="array" ref="C40">ConvertCurrencyToEnglish(H39)</f>
        <v>Rupees Three Thousand Four Hundred Forty Seven and Eighty Nine Paise Only</v>
      </c>
      <c r="D40" s="53"/>
      <c r="E40" s="53"/>
      <c r="F40" s="53"/>
      <c r="G40" s="53"/>
      <c r="H40" s="53"/>
    </row>
    <row r="41" spans="2:8" ht="15" thickBot="1" x14ac:dyDescent="0.4">
      <c r="B41" s="57" t="s">
        <v>52</v>
      </c>
      <c r="C41" s="57"/>
      <c r="D41" s="57"/>
      <c r="E41" s="57"/>
      <c r="F41" s="57"/>
      <c r="G41" s="57"/>
      <c r="H41" s="10">
        <f>H39/1.12</f>
        <v>3078.4732142857138</v>
      </c>
    </row>
    <row r="42" spans="2:8" ht="15" thickBot="1" x14ac:dyDescent="0.4">
      <c r="B42" s="57" t="s">
        <v>53</v>
      </c>
      <c r="C42" s="57"/>
      <c r="D42" s="57"/>
      <c r="E42" s="57"/>
      <c r="F42" s="57"/>
      <c r="G42" s="57"/>
      <c r="H42" s="10">
        <f>(H39-H41)/2</f>
        <v>184.70839285714305</v>
      </c>
    </row>
    <row r="43" spans="2:8" ht="15" thickBot="1" x14ac:dyDescent="0.4">
      <c r="B43" s="57" t="s">
        <v>54</v>
      </c>
      <c r="C43" s="57"/>
      <c r="D43" s="57"/>
      <c r="E43" s="57"/>
      <c r="F43" s="57"/>
      <c r="G43" s="57"/>
      <c r="H43" s="10">
        <f>(H39-H41)/2</f>
        <v>184.70839285714305</v>
      </c>
    </row>
    <row r="47" spans="2:8" x14ac:dyDescent="0.35">
      <c r="B47" s="58" t="s">
        <v>55</v>
      </c>
      <c r="C47" s="59"/>
      <c r="D47" s="59"/>
      <c r="E47" s="59"/>
      <c r="H47" s="60" t="s">
        <v>56</v>
      </c>
    </row>
    <row r="48" spans="2:8" x14ac:dyDescent="0.35">
      <c r="B48" s="59"/>
      <c r="C48" s="59"/>
      <c r="D48" s="59"/>
      <c r="E48" s="59"/>
      <c r="H48" s="60"/>
    </row>
  </sheetData>
  <mergeCells count="11">
    <mergeCell ref="B41:G41"/>
    <mergeCell ref="B42:G42"/>
    <mergeCell ref="B43:G43"/>
    <mergeCell ref="B47:E48"/>
    <mergeCell ref="H47:H48"/>
    <mergeCell ref="C40:H40"/>
    <mergeCell ref="B2:H5"/>
    <mergeCell ref="B7:D8"/>
    <mergeCell ref="E7:H8"/>
    <mergeCell ref="B9:H9"/>
    <mergeCell ref="B39:G39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H48"/>
  <sheetViews>
    <sheetView workbookViewId="0">
      <selection activeCell="K17" sqref="K17"/>
    </sheetView>
  </sheetViews>
  <sheetFormatPr defaultRowHeight="14.5" x14ac:dyDescent="0.35"/>
  <cols>
    <col min="2" max="2" width="20.26953125" bestFit="1" customWidth="1"/>
    <col min="3" max="3" width="6.453125" bestFit="1" customWidth="1"/>
    <col min="4" max="4" width="13.81640625" bestFit="1" customWidth="1"/>
    <col min="5" max="5" width="7.1796875" bestFit="1" customWidth="1"/>
    <col min="6" max="6" width="5.7265625" bestFit="1" customWidth="1"/>
    <col min="7" max="7" width="9.453125" bestFit="1" customWidth="1"/>
    <col min="8" max="8" width="17.81640625" bestFit="1" customWidth="1"/>
  </cols>
  <sheetData>
    <row r="1" spans="2:8" ht="15" thickBot="1" x14ac:dyDescent="0.4"/>
    <row r="2" spans="2:8" x14ac:dyDescent="0.35">
      <c r="B2" s="44" t="s">
        <v>0</v>
      </c>
      <c r="C2" s="45"/>
      <c r="D2" s="45"/>
      <c r="E2" s="45"/>
      <c r="F2" s="45"/>
      <c r="G2" s="45"/>
      <c r="H2" s="46"/>
    </row>
    <row r="3" spans="2:8" x14ac:dyDescent="0.35">
      <c r="B3" s="47"/>
      <c r="C3" s="48"/>
      <c r="D3" s="48"/>
      <c r="E3" s="48"/>
      <c r="F3" s="48"/>
      <c r="G3" s="48"/>
      <c r="H3" s="49"/>
    </row>
    <row r="4" spans="2:8" x14ac:dyDescent="0.35">
      <c r="B4" s="47"/>
      <c r="C4" s="48"/>
      <c r="D4" s="48"/>
      <c r="E4" s="48"/>
      <c r="F4" s="48"/>
      <c r="G4" s="48"/>
      <c r="H4" s="49"/>
    </row>
    <row r="5" spans="2:8" ht="15" thickBot="1" x14ac:dyDescent="0.4">
      <c r="B5" s="50"/>
      <c r="C5" s="51"/>
      <c r="D5" s="51"/>
      <c r="E5" s="51"/>
      <c r="F5" s="51"/>
      <c r="G5" s="51"/>
      <c r="H5" s="52"/>
    </row>
    <row r="6" spans="2:8" ht="15" thickBot="1" x14ac:dyDescent="0.4"/>
    <row r="7" spans="2:8" ht="15" thickBot="1" x14ac:dyDescent="0.4">
      <c r="B7" s="54" t="s">
        <v>1</v>
      </c>
      <c r="C7" s="54"/>
      <c r="D7" s="54"/>
      <c r="E7" s="42" t="str">
        <f>'pharmacy and challan'!E7</f>
        <v>KABITA GOGOI(ESIC/S.H.R.C.)</v>
      </c>
      <c r="F7" s="43"/>
      <c r="G7" s="43"/>
      <c r="H7" s="43"/>
    </row>
    <row r="8" spans="2:8" ht="15" thickBot="1" x14ac:dyDescent="0.4">
      <c r="B8" s="54"/>
      <c r="C8" s="54"/>
      <c r="D8" s="54"/>
      <c r="E8" s="43"/>
      <c r="F8" s="43"/>
      <c r="G8" s="43"/>
      <c r="H8" s="43"/>
    </row>
    <row r="9" spans="2:8" ht="15" thickBot="1" x14ac:dyDescent="0.4">
      <c r="B9" s="61"/>
      <c r="C9" s="61"/>
      <c r="D9" s="61"/>
      <c r="E9" s="61"/>
      <c r="F9" s="61"/>
      <c r="G9" s="61"/>
      <c r="H9" s="61"/>
    </row>
    <row r="11" spans="2:8" x14ac:dyDescent="0.35">
      <c r="B11" s="1" t="s">
        <v>2</v>
      </c>
      <c r="G11" s="1" t="s">
        <v>3</v>
      </c>
    </row>
    <row r="12" spans="2:8" ht="15" thickBot="1" x14ac:dyDescent="0.4"/>
    <row r="13" spans="2:8" ht="15" thickBot="1" x14ac:dyDescent="0.4">
      <c r="B13" s="2" t="s">
        <v>4</v>
      </c>
      <c r="C13" s="2" t="s">
        <v>5</v>
      </c>
      <c r="D13" s="3" t="s">
        <v>6</v>
      </c>
      <c r="E13" s="2" t="s">
        <v>7</v>
      </c>
      <c r="F13" s="2" t="s">
        <v>8</v>
      </c>
      <c r="G13" s="2" t="s">
        <v>9</v>
      </c>
      <c r="H13" s="2" t="s">
        <v>10</v>
      </c>
    </row>
    <row r="14" spans="2:8" ht="15" thickBot="1" x14ac:dyDescent="0.4">
      <c r="B14" s="4"/>
      <c r="C14" s="5"/>
      <c r="D14" s="5"/>
      <c r="E14" s="6"/>
      <c r="F14" s="4"/>
      <c r="G14" s="4"/>
      <c r="H14" s="4">
        <f>F14*G14</f>
        <v>0</v>
      </c>
    </row>
    <row r="15" spans="2:8" ht="15" thickBot="1" x14ac:dyDescent="0.4">
      <c r="B15" s="4"/>
      <c r="C15" s="5"/>
      <c r="D15" s="5"/>
      <c r="E15" s="6"/>
      <c r="F15" s="4"/>
      <c r="G15" s="4"/>
      <c r="H15" s="4">
        <f t="shared" ref="H15:H38" si="0">F15*G15</f>
        <v>0</v>
      </c>
    </row>
    <row r="16" spans="2:8" ht="15" thickBot="1" x14ac:dyDescent="0.4">
      <c r="B16" s="4"/>
      <c r="C16" s="5"/>
      <c r="D16" s="5"/>
      <c r="E16" s="6"/>
      <c r="F16" s="4"/>
      <c r="G16" s="4"/>
      <c r="H16" s="4">
        <f t="shared" si="0"/>
        <v>0</v>
      </c>
    </row>
    <row r="17" spans="2:8" ht="15" thickBot="1" x14ac:dyDescent="0.4">
      <c r="B17" s="4" t="s">
        <v>20</v>
      </c>
      <c r="C17" s="5" t="s">
        <v>21</v>
      </c>
      <c r="D17" s="5" t="s">
        <v>19</v>
      </c>
      <c r="E17" s="6">
        <v>45195</v>
      </c>
      <c r="F17" s="4">
        <v>59</v>
      </c>
      <c r="G17" s="4">
        <v>3</v>
      </c>
      <c r="H17" s="4">
        <f t="shared" si="0"/>
        <v>177</v>
      </c>
    </row>
    <row r="18" spans="2:8" ht="15" thickBot="1" x14ac:dyDescent="0.4">
      <c r="B18" s="4" t="s">
        <v>22</v>
      </c>
      <c r="C18" s="5"/>
      <c r="D18" s="5"/>
      <c r="E18" s="4"/>
      <c r="F18" s="4">
        <v>10</v>
      </c>
      <c r="G18" s="4">
        <v>8</v>
      </c>
      <c r="H18" s="4">
        <f t="shared" si="0"/>
        <v>80</v>
      </c>
    </row>
    <row r="19" spans="2:8" ht="15" thickBot="1" x14ac:dyDescent="0.4">
      <c r="B19" s="4" t="s">
        <v>23</v>
      </c>
      <c r="C19" s="5"/>
      <c r="D19" s="5"/>
      <c r="E19" s="4"/>
      <c r="F19" s="4">
        <v>10</v>
      </c>
      <c r="G19" s="4">
        <v>8</v>
      </c>
      <c r="H19" s="4">
        <f t="shared" si="0"/>
        <v>80</v>
      </c>
    </row>
    <row r="20" spans="2:8" ht="15" thickBot="1" x14ac:dyDescent="0.4">
      <c r="B20" s="4" t="s">
        <v>24</v>
      </c>
      <c r="C20" s="5" t="s">
        <v>25</v>
      </c>
      <c r="D20" s="5" t="s">
        <v>26</v>
      </c>
      <c r="E20" s="6">
        <v>45101</v>
      </c>
      <c r="F20" s="4">
        <v>432</v>
      </c>
      <c r="G20" s="4">
        <v>1</v>
      </c>
      <c r="H20" s="4">
        <f t="shared" si="0"/>
        <v>432</v>
      </c>
    </row>
    <row r="21" spans="2:8" ht="15" thickBot="1" x14ac:dyDescent="0.4">
      <c r="B21" s="4" t="s">
        <v>27</v>
      </c>
      <c r="C21" s="5">
        <v>23394</v>
      </c>
      <c r="D21" s="5" t="s">
        <v>16</v>
      </c>
      <c r="E21" s="6">
        <v>45070</v>
      </c>
      <c r="F21" s="4">
        <v>62</v>
      </c>
      <c r="G21" s="4">
        <v>1</v>
      </c>
      <c r="H21" s="4">
        <f t="shared" si="0"/>
        <v>62</v>
      </c>
    </row>
    <row r="22" spans="2:8" ht="15" thickBot="1" x14ac:dyDescent="0.4">
      <c r="B22" s="4" t="s">
        <v>28</v>
      </c>
      <c r="C22" s="5">
        <v>40121</v>
      </c>
      <c r="D22" s="5" t="s">
        <v>29</v>
      </c>
      <c r="E22" s="6">
        <v>45285</v>
      </c>
      <c r="F22" s="4">
        <v>5.5</v>
      </c>
      <c r="G22" s="4">
        <v>1</v>
      </c>
      <c r="H22" s="4">
        <f t="shared" si="0"/>
        <v>5.5</v>
      </c>
    </row>
    <row r="23" spans="2:8" ht="15" thickBot="1" x14ac:dyDescent="0.4">
      <c r="B23" s="4" t="s">
        <v>30</v>
      </c>
      <c r="C23" s="5" t="s">
        <v>31</v>
      </c>
      <c r="D23" s="5" t="s">
        <v>32</v>
      </c>
      <c r="E23" s="6">
        <v>44984</v>
      </c>
      <c r="F23" s="4">
        <v>211</v>
      </c>
      <c r="G23" s="4">
        <v>1</v>
      </c>
      <c r="H23" s="4">
        <f t="shared" si="0"/>
        <v>211</v>
      </c>
    </row>
    <row r="24" spans="2:8" ht="15" thickBot="1" x14ac:dyDescent="0.4">
      <c r="B24" s="4" t="s">
        <v>33</v>
      </c>
      <c r="C24" s="5">
        <v>713</v>
      </c>
      <c r="D24" s="5" t="s">
        <v>16</v>
      </c>
      <c r="E24" s="6">
        <v>45196</v>
      </c>
      <c r="F24" s="4">
        <v>176</v>
      </c>
      <c r="G24" s="4">
        <v>2</v>
      </c>
      <c r="H24" s="4">
        <f t="shared" si="0"/>
        <v>352</v>
      </c>
    </row>
    <row r="25" spans="2:8" ht="15" thickBot="1" x14ac:dyDescent="0.4">
      <c r="B25" s="4" t="s">
        <v>34</v>
      </c>
      <c r="C25" s="5">
        <v>8092</v>
      </c>
      <c r="D25" s="5" t="s">
        <v>26</v>
      </c>
      <c r="E25" s="6">
        <v>45039</v>
      </c>
      <c r="F25" s="4">
        <v>4.0999999999999996</v>
      </c>
      <c r="G25" s="4">
        <v>1</v>
      </c>
      <c r="H25" s="4">
        <f t="shared" si="0"/>
        <v>4.0999999999999996</v>
      </c>
    </row>
    <row r="26" spans="2:8" ht="15" thickBot="1" x14ac:dyDescent="0.4">
      <c r="B26" s="4" t="s">
        <v>35</v>
      </c>
      <c r="C26" s="5" t="s">
        <v>36</v>
      </c>
      <c r="D26" s="5" t="s">
        <v>37</v>
      </c>
      <c r="E26" s="6">
        <v>45069</v>
      </c>
      <c r="F26" s="4">
        <v>18.5</v>
      </c>
      <c r="G26" s="4">
        <v>1</v>
      </c>
      <c r="H26" s="4">
        <f t="shared" si="0"/>
        <v>18.5</v>
      </c>
    </row>
    <row r="27" spans="2:8" ht="15" thickBot="1" x14ac:dyDescent="0.4">
      <c r="B27" s="4" t="s">
        <v>38</v>
      </c>
      <c r="C27" s="5">
        <v>2024</v>
      </c>
      <c r="D27" s="5" t="s">
        <v>26</v>
      </c>
      <c r="E27" s="6">
        <v>45070</v>
      </c>
      <c r="F27" s="4">
        <v>39.93</v>
      </c>
      <c r="G27" s="4">
        <v>3</v>
      </c>
      <c r="H27" s="4">
        <f t="shared" si="0"/>
        <v>119.78999999999999</v>
      </c>
    </row>
    <row r="28" spans="2:8" ht="15" thickBot="1" x14ac:dyDescent="0.4">
      <c r="B28" s="4" t="s">
        <v>39</v>
      </c>
      <c r="C28" s="5">
        <v>92365</v>
      </c>
      <c r="D28" s="5" t="s">
        <v>16</v>
      </c>
      <c r="E28" s="6">
        <v>45163</v>
      </c>
      <c r="F28" s="4">
        <v>810</v>
      </c>
      <c r="G28" s="4">
        <v>1</v>
      </c>
      <c r="H28" s="4">
        <f t="shared" si="0"/>
        <v>810</v>
      </c>
    </row>
    <row r="29" spans="2:8" ht="15" thickBot="1" x14ac:dyDescent="0.4">
      <c r="B29" s="4" t="s">
        <v>40</v>
      </c>
      <c r="C29" s="5" t="s">
        <v>41</v>
      </c>
      <c r="D29" s="5" t="s">
        <v>42</v>
      </c>
      <c r="E29" s="6">
        <v>44950</v>
      </c>
      <c r="F29" s="4">
        <v>160</v>
      </c>
      <c r="G29" s="4">
        <v>1</v>
      </c>
      <c r="H29" s="4">
        <f t="shared" si="0"/>
        <v>160</v>
      </c>
    </row>
    <row r="30" spans="2:8" ht="15" thickBot="1" x14ac:dyDescent="0.4">
      <c r="B30" s="4" t="s">
        <v>43</v>
      </c>
      <c r="C30" s="5" t="s">
        <v>44</v>
      </c>
      <c r="D30" s="5" t="s">
        <v>19</v>
      </c>
      <c r="E30" s="6">
        <v>45011</v>
      </c>
      <c r="F30" s="4">
        <v>213</v>
      </c>
      <c r="G30" s="4">
        <v>2</v>
      </c>
      <c r="H30" s="4">
        <f t="shared" si="0"/>
        <v>426</v>
      </c>
    </row>
    <row r="31" spans="2:8" ht="15" thickBot="1" x14ac:dyDescent="0.4">
      <c r="B31" s="4" t="s">
        <v>45</v>
      </c>
      <c r="C31" s="5" t="s">
        <v>46</v>
      </c>
      <c r="D31" s="5" t="s">
        <v>19</v>
      </c>
      <c r="E31" s="6">
        <v>45161</v>
      </c>
      <c r="F31" s="4">
        <v>156</v>
      </c>
      <c r="G31" s="4">
        <v>2</v>
      </c>
      <c r="H31" s="4">
        <f t="shared" si="0"/>
        <v>312</v>
      </c>
    </row>
    <row r="32" spans="2:8" ht="15" thickBot="1" x14ac:dyDescent="0.4">
      <c r="B32" s="4" t="s">
        <v>47</v>
      </c>
      <c r="C32" s="5">
        <v>5061</v>
      </c>
      <c r="D32" s="5" t="s">
        <v>48</v>
      </c>
      <c r="E32" s="6">
        <v>45193</v>
      </c>
      <c r="F32" s="4">
        <v>153</v>
      </c>
      <c r="G32" s="4">
        <v>1</v>
      </c>
      <c r="H32" s="4">
        <f t="shared" si="0"/>
        <v>153</v>
      </c>
    </row>
    <row r="33" spans="2:8" ht="15" thickBot="1" x14ac:dyDescent="0.4">
      <c r="B33" s="4" t="s">
        <v>49</v>
      </c>
      <c r="C33" s="5">
        <v>1046</v>
      </c>
      <c r="D33" s="5" t="s">
        <v>26</v>
      </c>
      <c r="E33" s="6">
        <v>45161</v>
      </c>
      <c r="F33" s="4">
        <v>45</v>
      </c>
      <c r="G33" s="4">
        <v>1</v>
      </c>
      <c r="H33" s="4">
        <f t="shared" si="0"/>
        <v>45</v>
      </c>
    </row>
    <row r="34" spans="2:8" ht="15" thickBot="1" x14ac:dyDescent="0.4">
      <c r="B34" s="7"/>
      <c r="C34" s="8"/>
      <c r="D34" s="8"/>
      <c r="E34" s="8"/>
      <c r="F34" s="8"/>
      <c r="G34" s="8"/>
      <c r="H34" s="4">
        <f t="shared" si="0"/>
        <v>0</v>
      </c>
    </row>
    <row r="35" spans="2:8" ht="15" thickBot="1" x14ac:dyDescent="0.4">
      <c r="B35" s="7"/>
      <c r="C35" s="8"/>
      <c r="D35" s="8"/>
      <c r="E35" s="8"/>
      <c r="F35" s="8"/>
      <c r="G35" s="8"/>
      <c r="H35" s="4">
        <f t="shared" si="0"/>
        <v>0</v>
      </c>
    </row>
    <row r="36" spans="2:8" ht="15" thickBot="1" x14ac:dyDescent="0.4">
      <c r="B36" s="7"/>
      <c r="C36" s="8"/>
      <c r="D36" s="8"/>
      <c r="E36" s="8"/>
      <c r="F36" s="8"/>
      <c r="G36" s="8"/>
      <c r="H36" s="4">
        <f t="shared" si="0"/>
        <v>0</v>
      </c>
    </row>
    <row r="37" spans="2:8" ht="15" thickBot="1" x14ac:dyDescent="0.4">
      <c r="B37" s="7"/>
      <c r="C37" s="8"/>
      <c r="D37" s="8"/>
      <c r="E37" s="8"/>
      <c r="F37" s="8"/>
      <c r="G37" s="8"/>
      <c r="H37" s="4">
        <f t="shared" si="0"/>
        <v>0</v>
      </c>
    </row>
    <row r="38" spans="2:8" ht="15" thickBot="1" x14ac:dyDescent="0.4">
      <c r="B38" s="7"/>
      <c r="C38" s="8"/>
      <c r="D38" s="8"/>
      <c r="E38" s="8"/>
      <c r="F38" s="8"/>
      <c r="G38" s="8"/>
      <c r="H38" s="4">
        <f t="shared" si="0"/>
        <v>0</v>
      </c>
    </row>
    <row r="39" spans="2:8" ht="15" thickBot="1" x14ac:dyDescent="0.4">
      <c r="B39" s="55" t="s">
        <v>50</v>
      </c>
      <c r="C39" s="56"/>
      <c r="D39" s="56"/>
      <c r="E39" s="56"/>
      <c r="F39" s="56"/>
      <c r="G39" s="56"/>
      <c r="H39" s="9">
        <f>SUM(H14:H38)</f>
        <v>3447.89</v>
      </c>
    </row>
    <row r="40" spans="2:8" ht="15" thickBot="1" x14ac:dyDescent="0.4">
      <c r="B40" s="9" t="s">
        <v>51</v>
      </c>
      <c r="C40" s="53" t="str" cm="1">
        <f t="array" ref="C40">ConvertCurrencyToEnglish(H39)</f>
        <v>Rupees Three Thousand Four Hundred Forty Seven and Eighty Nine Paise Only</v>
      </c>
      <c r="D40" s="53"/>
      <c r="E40" s="53"/>
      <c r="F40" s="53"/>
      <c r="G40" s="53"/>
      <c r="H40" s="53"/>
    </row>
    <row r="41" spans="2:8" ht="15" thickBot="1" x14ac:dyDescent="0.4">
      <c r="B41" s="57" t="s">
        <v>52</v>
      </c>
      <c r="C41" s="57"/>
      <c r="D41" s="57"/>
      <c r="E41" s="57"/>
      <c r="F41" s="57"/>
      <c r="G41" s="57"/>
      <c r="H41" s="10">
        <f>H39/1.12</f>
        <v>3078.4732142857138</v>
      </c>
    </row>
    <row r="42" spans="2:8" ht="15" thickBot="1" x14ac:dyDescent="0.4">
      <c r="B42" s="57" t="s">
        <v>53</v>
      </c>
      <c r="C42" s="57"/>
      <c r="D42" s="57"/>
      <c r="E42" s="57"/>
      <c r="F42" s="57"/>
      <c r="G42" s="57"/>
      <c r="H42" s="10">
        <f>(H39-H41)/2</f>
        <v>184.70839285714305</v>
      </c>
    </row>
    <row r="43" spans="2:8" ht="15" thickBot="1" x14ac:dyDescent="0.4">
      <c r="B43" s="57" t="s">
        <v>54</v>
      </c>
      <c r="C43" s="57"/>
      <c r="D43" s="57"/>
      <c r="E43" s="57"/>
      <c r="F43" s="57"/>
      <c r="G43" s="57"/>
      <c r="H43" s="10">
        <f>(H39-H41)/2</f>
        <v>184.70839285714305</v>
      </c>
    </row>
    <row r="47" spans="2:8" x14ac:dyDescent="0.35">
      <c r="B47" s="58" t="s">
        <v>55</v>
      </c>
      <c r="C47" s="59"/>
      <c r="D47" s="59"/>
      <c r="E47" s="59"/>
      <c r="H47" s="60" t="s">
        <v>56</v>
      </c>
    </row>
    <row r="48" spans="2:8" x14ac:dyDescent="0.35">
      <c r="B48" s="59"/>
      <c r="C48" s="59"/>
      <c r="D48" s="59"/>
      <c r="E48" s="59"/>
      <c r="H48" s="60"/>
    </row>
  </sheetData>
  <mergeCells count="11">
    <mergeCell ref="B41:G41"/>
    <mergeCell ref="B42:G42"/>
    <mergeCell ref="B43:G43"/>
    <mergeCell ref="B47:E48"/>
    <mergeCell ref="H47:H48"/>
    <mergeCell ref="C40:H40"/>
    <mergeCell ref="B2:H5"/>
    <mergeCell ref="B7:D8"/>
    <mergeCell ref="E7:H8"/>
    <mergeCell ref="B9:H9"/>
    <mergeCell ref="B39:G3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Inventory</vt:lpstr>
      <vt:lpstr>pharmacy and challan</vt:lpstr>
      <vt:lpstr>challan</vt:lpstr>
      <vt:lpstr>Sheet2</vt:lpstr>
      <vt:lpstr>Sheet3</vt:lpstr>
      <vt:lpstr>Sheet4</vt:lpstr>
      <vt:lpstr>Sheet4 (3)</vt:lpstr>
      <vt:lpstr>Sheet4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Sarbeswar Agarwal</dc:creator>
  <cp:lastModifiedBy>Sarwagya Agarwal</cp:lastModifiedBy>
  <cp:lastPrinted>2023-03-18T09:59:17Z</cp:lastPrinted>
  <dcterms:created xsi:type="dcterms:W3CDTF">2023-02-02T09:54:35Z</dcterms:created>
  <dcterms:modified xsi:type="dcterms:W3CDTF">2023-05-27T17:40:53Z</dcterms:modified>
</cp:coreProperties>
</file>